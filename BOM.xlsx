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murphy/Desktop/"/>
    </mc:Choice>
  </mc:AlternateContent>
  <xr:revisionPtr revIDLastSave="0" documentId="13_ncr:1_{7B4A1F33-1E05-C149-AD02-22C0FCE68585}" xr6:coauthVersionLast="47" xr6:coauthVersionMax="47" xr10:uidLastSave="{00000000-0000-0000-0000-000000000000}"/>
  <bookViews>
    <workbookView xWindow="0" yWindow="740" windowWidth="30240" windowHeight="18900" xr2:uid="{8C689D86-F03A-594F-B144-C2F1D0BCDB00}"/>
  </bookViews>
  <sheets>
    <sheet name="Final BOM" sheetId="4" r:id="rId1"/>
    <sheet name="Analysis" sheetId="5" r:id="rId2"/>
  </sheets>
  <definedNames>
    <definedName name="_xlchart.v1.0" hidden="1">Analysis!$B$5:$B$13</definedName>
    <definedName name="_xlchart.v1.1" hidden="1">Analysis!$C$4</definedName>
    <definedName name="_xlchart.v1.10" hidden="1">Analysis!$B$5:$B$13</definedName>
    <definedName name="_xlchart.v1.11" hidden="1">Analysis!$C$4</definedName>
    <definedName name="_xlchart.v1.12" hidden="1">Analysis!$C$5:$C$13</definedName>
    <definedName name="_xlchart.v1.13" hidden="1">Analysis!$D$4</definedName>
    <definedName name="_xlchart.v1.14" hidden="1">Analysis!$D$5:$D$13</definedName>
    <definedName name="_xlchart.v1.15" hidden="1">Analysis!$B$5:$B$13</definedName>
    <definedName name="_xlchart.v1.16" hidden="1">Analysis!$C$4</definedName>
    <definedName name="_xlchart.v1.17" hidden="1">Analysis!$C$5:$C$13</definedName>
    <definedName name="_xlchart.v1.18" hidden="1">Analysis!$D$4</definedName>
    <definedName name="_xlchart.v1.19" hidden="1">Analysis!$D$5:$D$13</definedName>
    <definedName name="_xlchart.v1.2" hidden="1">Analysis!$C$5:$C$13</definedName>
    <definedName name="_xlchart.v1.20" hidden="1">Analysis!$B$5:$B$13</definedName>
    <definedName name="_xlchart.v1.21" hidden="1">Analysis!$C$4</definedName>
    <definedName name="_xlchart.v1.22" hidden="1">Analysis!$C$5:$C$13</definedName>
    <definedName name="_xlchart.v1.23" hidden="1">Analysis!$D$4</definedName>
    <definedName name="_xlchart.v1.24" hidden="1">Analysis!$D$5:$D$13</definedName>
    <definedName name="_xlchart.v1.25" hidden="1">Analysis!$B$5:$B$13</definedName>
    <definedName name="_xlchart.v1.26" hidden="1">Analysis!$C$4</definedName>
    <definedName name="_xlchart.v1.27" hidden="1">Analysis!$C$5:$C$13</definedName>
    <definedName name="_xlchart.v1.28" hidden="1">Analysis!$D$4</definedName>
    <definedName name="_xlchart.v1.29" hidden="1">Analysis!$D$5:$D$13</definedName>
    <definedName name="_xlchart.v1.3" hidden="1">Analysis!$D$4</definedName>
    <definedName name="_xlchart.v1.30" hidden="1">Analysis!$B$5:$B$13</definedName>
    <definedName name="_xlchart.v1.31" hidden="1">Analysis!$C$4</definedName>
    <definedName name="_xlchart.v1.32" hidden="1">Analysis!$C$5:$C$13</definedName>
    <definedName name="_xlchart.v1.33" hidden="1">Analysis!$D$4</definedName>
    <definedName name="_xlchart.v1.34" hidden="1">Analysis!$D$5:$D$13</definedName>
    <definedName name="_xlchart.v1.35" hidden="1">Analysis!$B$5:$B$13</definedName>
    <definedName name="_xlchart.v1.36" hidden="1">Analysis!$C$4</definedName>
    <definedName name="_xlchart.v1.37" hidden="1">Analysis!$C$5:$C$13</definedName>
    <definedName name="_xlchart.v1.38" hidden="1">Analysis!$D$4</definedName>
    <definedName name="_xlchart.v1.39" hidden="1">Analysis!$D$5:$D$13</definedName>
    <definedName name="_xlchart.v1.4" hidden="1">Analysis!$D$5:$D$13</definedName>
    <definedName name="_xlchart.v1.40" hidden="1">Analysis!$B$5:$B$13</definedName>
    <definedName name="_xlchart.v1.41" hidden="1">Analysis!$C$4</definedName>
    <definedName name="_xlchart.v1.42" hidden="1">Analysis!$C$5:$C$13</definedName>
    <definedName name="_xlchart.v1.43" hidden="1">Analysis!$D$4</definedName>
    <definedName name="_xlchart.v1.44" hidden="1">Analysis!$D$5:$D$13</definedName>
    <definedName name="_xlchart.v1.5" hidden="1">Analysis!$B$5:$B$13</definedName>
    <definedName name="_xlchart.v1.6" hidden="1">Analysis!$C$4</definedName>
    <definedName name="_xlchart.v1.7" hidden="1">Analysis!$C$5:$C$13</definedName>
    <definedName name="_xlchart.v1.8" hidden="1">Analysis!$D$4</definedName>
    <definedName name="_xlchart.v1.9" hidden="1">Analysis!$D$5:$D$13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C7" i="5"/>
  <c r="O24" i="4"/>
  <c r="P31" i="4"/>
  <c r="P24" i="4"/>
  <c r="P14" i="4" s="1"/>
  <c r="D21" i="5" s="1"/>
  <c r="D24" i="5" s="1"/>
  <c r="C6" i="4"/>
  <c r="O31" i="4"/>
  <c r="P50" i="4"/>
  <c r="O50" i="4"/>
  <c r="J32" i="4"/>
  <c r="J33" i="4"/>
  <c r="J31" i="4"/>
  <c r="J30" i="4"/>
  <c r="E24" i="5"/>
  <c r="F24" i="5"/>
  <c r="G24" i="5"/>
  <c r="H24" i="5"/>
  <c r="I24" i="5"/>
  <c r="J24" i="5"/>
  <c r="K24" i="5"/>
  <c r="B23" i="5"/>
  <c r="B22" i="5"/>
  <c r="B21" i="5"/>
  <c r="B11" i="5"/>
  <c r="B10" i="5"/>
  <c r="B9" i="5"/>
  <c r="B8" i="5"/>
  <c r="B6" i="5"/>
  <c r="B5" i="5"/>
  <c r="J21" i="4"/>
  <c r="J43" i="4"/>
  <c r="P51" i="4"/>
  <c r="P49" i="4"/>
  <c r="D11" i="5" s="1"/>
  <c r="P47" i="4"/>
  <c r="D10" i="5" s="1"/>
  <c r="P40" i="4"/>
  <c r="D9" i="5" s="1"/>
  <c r="P35" i="4"/>
  <c r="P34" i="4" s="1"/>
  <c r="D6" i="5"/>
  <c r="P15" i="4"/>
  <c r="D5" i="5" s="1"/>
  <c r="J53" i="4"/>
  <c r="J36" i="4"/>
  <c r="J37" i="4"/>
  <c r="J38" i="4"/>
  <c r="J39" i="4"/>
  <c r="J40" i="4"/>
  <c r="J41" i="4"/>
  <c r="J42" i="4"/>
  <c r="J44" i="4"/>
  <c r="J45" i="4"/>
  <c r="J52" i="4"/>
  <c r="J48" i="4"/>
  <c r="J49" i="4"/>
  <c r="O49" i="4" s="1"/>
  <c r="C11" i="5" s="1"/>
  <c r="J51" i="4"/>
  <c r="J47" i="4"/>
  <c r="J35" i="4"/>
  <c r="J16" i="4"/>
  <c r="J17" i="4"/>
  <c r="J18" i="4"/>
  <c r="J19" i="4"/>
  <c r="J20" i="4"/>
  <c r="J22" i="4"/>
  <c r="J23" i="4"/>
  <c r="J24" i="4"/>
  <c r="J25" i="4"/>
  <c r="J26" i="4"/>
  <c r="J27" i="4"/>
  <c r="J28" i="4"/>
  <c r="J29" i="4"/>
  <c r="J15" i="4"/>
  <c r="C7" i="4" s="1"/>
  <c r="D8" i="5" l="1"/>
  <c r="O40" i="4"/>
  <c r="C9" i="5" s="1"/>
  <c r="P46" i="4"/>
  <c r="O47" i="4"/>
  <c r="O35" i="4"/>
  <c r="C8" i="5" s="1"/>
  <c r="O51" i="4"/>
  <c r="O34" i="4"/>
  <c r="C6" i="5"/>
  <c r="O15" i="4"/>
  <c r="O14" i="4" s="1"/>
  <c r="C21" i="5" s="1"/>
  <c r="C24" i="5" s="1"/>
  <c r="C5" i="5" l="1"/>
  <c r="O46" i="4"/>
  <c r="C10" i="5"/>
</calcChain>
</file>

<file path=xl/sharedStrings.xml><?xml version="1.0" encoding="utf-8"?>
<sst xmlns="http://schemas.openxmlformats.org/spreadsheetml/2006/main" count="226" uniqueCount="209">
  <si>
    <t>Eraser</t>
  </si>
  <si>
    <t>Puck LED</t>
  </si>
  <si>
    <t>M3 12 mm Hex Socket Bolt</t>
  </si>
  <si>
    <t>Super Glue</t>
  </si>
  <si>
    <t>Nail Polish Remover</t>
  </si>
  <si>
    <t>Elastic Band Assortment</t>
  </si>
  <si>
    <t>Petri Dish (60 mm D)</t>
  </si>
  <si>
    <t>X</t>
  </si>
  <si>
    <t>M3 Alan Key</t>
  </si>
  <si>
    <t>Link</t>
  </si>
  <si>
    <t>https://ie.rs-online.com/web/p/dispensing-tips/4003902</t>
  </si>
  <si>
    <t>RS</t>
  </si>
  <si>
    <t>Kahnetics Purple Straight Dispensing Tip, 30 Gauge</t>
  </si>
  <si>
    <t>N/A</t>
  </si>
  <si>
    <t>https://www.easons.com/milan-4-pack-synthetic-rubber-erasers-blister-card-4200020</t>
  </si>
  <si>
    <t>https://www.easons.com/tiger-essential-rubber-bands-coloured-100g-2097818</t>
  </si>
  <si>
    <t>https://www.lights.ie/p/osram-led-rechargeable-furniture-light-dot-it-1-8-cm-white-touch-dimmer-10044291.html</t>
  </si>
  <si>
    <t>OSRAM LED rechargeable furniture light DOT-IT, 1.8 cm, white touch dimmer</t>
  </si>
  <si>
    <t>PLA (1 kg spool)</t>
  </si>
  <si>
    <t>Passivated 18-8 Stainless Steel Pan Head Phillips Screws</t>
  </si>
  <si>
    <t>https://www.mcmaster.com/92000A136/</t>
  </si>
  <si>
    <t>McMaster-Carr</t>
  </si>
  <si>
    <t>Staple (no. 16 or 24/6)</t>
  </si>
  <si>
    <t>Thread</t>
  </si>
  <si>
    <t>Weighing Scales</t>
  </si>
  <si>
    <t>https://int.rsdelivers.com/product/mean-well/gst60a05-p1j/mean-well-30w-power-brick-ac/dc-adapter-5v-dc-output-6a-output/8808391</t>
  </si>
  <si>
    <t>M3 40 mm Pan Head Bolt (0.5 mm pitch)</t>
  </si>
  <si>
    <t>Equipment</t>
  </si>
  <si>
    <t>Components</t>
  </si>
  <si>
    <t>Silicone Lubricant</t>
  </si>
  <si>
    <t>Garden Wire</t>
  </si>
  <si>
    <t>Wire Strippers</t>
  </si>
  <si>
    <t>Item #</t>
  </si>
  <si>
    <t>Qty</t>
  </si>
  <si>
    <t>Units</t>
  </si>
  <si>
    <t>Lay Des.</t>
  </si>
  <si>
    <t>Mfg. Des.</t>
  </si>
  <si>
    <t>Mfg.</t>
  </si>
  <si>
    <t>Additional Items</t>
  </si>
  <si>
    <t>Brightfield Microscope</t>
  </si>
  <si>
    <t>3D FDM Printer</t>
  </si>
  <si>
    <t>Immersion Circulator</t>
  </si>
  <si>
    <t>Laptop</t>
  </si>
  <si>
    <t>Assembly Name</t>
  </si>
  <si>
    <t>Assembly #</t>
  </si>
  <si>
    <t>Assembly Revision</t>
  </si>
  <si>
    <t>Date of Approval</t>
  </si>
  <si>
    <t>Total Cost (€)</t>
  </si>
  <si>
    <t>Total Cost per Unit (€)</t>
  </si>
  <si>
    <t>Dispensing Tip (30 Gauge)</t>
  </si>
  <si>
    <t>Breadboard</t>
  </si>
  <si>
    <t>Peristaltic Pump</t>
  </si>
  <si>
    <t>Microcontroller</t>
  </si>
  <si>
    <t>Barrel Jack to Pin Adaptor</t>
  </si>
  <si>
    <t>Power Cable</t>
  </si>
  <si>
    <t>Jumper Wire Kit</t>
  </si>
  <si>
    <t>Consumables</t>
  </si>
  <si>
    <t>Adhesiive Putty</t>
  </si>
  <si>
    <t>Cooking Pot</t>
  </si>
  <si>
    <t>Arduino</t>
  </si>
  <si>
    <t>https://www.prusa3d.com/product/prusament-pla-jet-black-1kg-nfc/</t>
  </si>
  <si>
    <t>Prusa</t>
  </si>
  <si>
    <t>Prusament PLA Jet Black 1kg (NFC)</t>
  </si>
  <si>
    <t>IDF: 17704|IDS: 3414</t>
  </si>
  <si>
    <t>Milan 4 Pack Synthetic Rubber Erasers Blister Card</t>
  </si>
  <si>
    <t>420/0020</t>
  </si>
  <si>
    <t>92000A136</t>
  </si>
  <si>
    <t>Alloy Steel Socket Head Screw, Zinc Plated, M3 x 0.5 mm Thread, 12 mm Long</t>
  </si>
  <si>
    <t>95263A146</t>
  </si>
  <si>
    <t>https://www.mcmaster.com/95263A146/</t>
  </si>
  <si>
    <t>Zinc-Plated Steel Hex Nut, Medium-Strength, ISO Class 8, M3 x 0.5 mm Thread Size</t>
  </si>
  <si>
    <t>90591A250</t>
  </si>
  <si>
    <t>https://www.mcmaster.com/90591A250/</t>
  </si>
  <si>
    <t>Extension and Compression Spring</t>
  </si>
  <si>
    <t>Rolson 61298 150 pc Spring Assortment Hardware Pin, Silver</t>
  </si>
  <si>
    <t>B000QF7JTO</t>
  </si>
  <si>
    <t>https://www.amazon.ie/Rolson-61298-Spring-Assortment-Hardware/dp/B000QF7JTO/ref=sr_1_5?crid=29HLJ8JIOZSYI&amp;dib=eyJ2IjoiMSJ9.5AA5BDT3Shk0fXWOu_DjRMVxJVVWB8sb_oJ9rbi5slo3wp1d2pS9tcdeuiTGLPccGCXMowBPZkpJi8Zd1z86VxRRgtpInBAsglgX_N1CT0h6CWsLYweTU8HwK_C_gqzP7hDXcTm59eqNLWe7oYawN7onafmm69v6s4xw6W9fe0LRCjNmP9YmARYiSD8DIowGbV42g9xZxsKnmoW2S_eK6WGkQE32gafTAQb-vm7G78FHwnp0OLQBUhoKNr5ytwaqGL8QSQ2_uh2wukTNhZX3LvtHEGE8QFWIzoQQODmP0P8.kslOjIac5-f-6W9F9bytFg67oYfKQrVRLt3FYS81ZOA&amp;dib_tag=se&amp;keywords=springs&amp;qid=1774372649&amp;sprefix=springs%2Caps%2C69&amp;sr=8-5</t>
  </si>
  <si>
    <t>Tiger Essential Rubber Bands Coloured - 100g</t>
  </si>
  <si>
    <t>209/7818</t>
  </si>
  <si>
    <t>Tiger</t>
  </si>
  <si>
    <t>Milan</t>
  </si>
  <si>
    <t>OSRAM</t>
  </si>
  <si>
    <t>Arduino Uno REV3</t>
  </si>
  <si>
    <t>A000066</t>
  </si>
  <si>
    <t>https://www.amazon.ie/Arduino-Uno-REV3-A000066-Microcontroller/dp/B008GRTSV6/ref=sr_1_1?crid=OUSXCUWBYLWX&amp;dib=eyJ2IjoiMSJ9.EP1e3hJTqCDPxSPSdzKsYXXK89oLGPYS3mPr8kqpi9m_m8sX2BnsTAzd5p0iGqjm0r5NwVDchvWiyzUg_op6hIqga4hiBQGYQfxF75v7W6ONafmS33w-nwMwmSW5DfR2voFKSKfb9obF3PAskJtliKHh1jE-enTl8M2BSNgmTlq0zQ6M2CnqDbV4rH-LrTKvbl-XGPaP_529iBgITkvjauwJctZU7UmboPIr8arvq7oXZscBffMn7Yg2P3dOXe7Rizcdxu_08_sndMW7rD_vYT0OOFhpAugLtRXdsroOT-w.gwfU48I-h0PDse4qU7B1TNRRiWcgZFl6OS8YD3uFxkM&amp;dib_tag=se&amp;keywords=arduino%2Buno%2Brev3&amp;qid=1774373258&amp;sprefix=arduino%2Buno%2Brev3%2Caps%2C449&amp;sr=8-1&amp;th=1</t>
  </si>
  <si>
    <t>Velleman</t>
  </si>
  <si>
    <t>VTBB3</t>
  </si>
  <si>
    <t>Velleman VTBB3 High-Quality 400 Holes Breadboard, Multi-Colour</t>
  </si>
  <si>
    <t>https://www.amazon.ie/Velleman-VTBB3-High-Quality-Breadboard-Multi-Colour/dp/B077ZKDQKW/ref=sr_1_5?crid=6C0XMR1ZUG8C&amp;dib=eyJ2IjoiMSJ9.IgQ8FrGD42aA5Y6jdL1F1wpnIF0qVaC_N0MinZ8ZZwZpvErRAzJFEcj9gF2AbYktTcLEUSE8zmFT6hWzQvhckdvvLeS5hDyZ86KdY12vD0L0b9H1I7GGuhh_RZRV1UwSqUkGppmLklKm6VgNd1Jkczht6TOJsEMS2fvU3c7QyNU2i7oh9w-4VMHUKUk4_vOOEV4Dv7O9GfT_4qNJfPoA3LrqYgm5tTZSueN8-tAmnZ-RFH3h69jCGA9sZSWlUoFGlS1WRJWLSIgzm_o3eCZ5Uz4uy8293jth9Ay9sBUGQjU.3C7F2y152isUI7ysooZTCvIQN48M3g7C6GBZ5rGGATM&amp;dib_tag=se&amp;keywords=breadboard&amp;qid=1774373335&amp;sprefix=breadboar%2Caps%2C74&amp;sr=8-5</t>
  </si>
  <si>
    <t>https://ie.farnell.com/dfrobot/dfr0523/gravity-digital-peristaltic-pump/dp/3517940?CMP=KNC-GIE-GEN-SKU-OPTMYZR&amp;mckv=s_dc%7Cpcrid%7C800683241016%7Ckword%7Cdfr0523%7Cmatch%7Cp%7Cplid%7C%7Cslid%7C%7Cproduct%7C%7Cpgrid%7C182670552432%7Cptaid%7Ckwd-531424226057%7C&amp;gad_source=1&amp;gad_campaignid=22770033025&amp;gbraid=0AAAAAD8yeHkXzG0RDGa-h1lPLySOOWPET&amp;gclid=Cj0KCQjw7IjOBhDyARIsAFzrWQyBoPorGJounL4TE3Uxk-v0Nbku6HIIPotZK0QO4eDuFTx49vfVbjgaAtJvEALw_wcB</t>
  </si>
  <si>
    <t>DFR0523</t>
  </si>
  <si>
    <t>Gravity Digital Peristaltic Pump, for Arduino, Raspberry Pi &amp; micro:bit Board</t>
  </si>
  <si>
    <t>DFRobot</t>
  </si>
  <si>
    <t>560 PcsJumper Wire Kit</t>
  </si>
  <si>
    <t>Haochen</t>
  </si>
  <si>
    <t>B07FBCJ7GK</t>
  </si>
  <si>
    <t>https://www.amazon.ie/PcsJumper-Breadboard-Preformed-Solderless-Prototyping/dp/B07FBCJ7GK/ref=sr_1_7?crid=9V1JDZ8KUS4K&amp;dib=eyJ2IjoiMSJ9.DO6s-fZ9KciFDvEaFYCvvNxCSO2r-dC0oBrBMkO2_JtuxoAeKBG3oDd9VnKIjAW0x8GIQ9t1Ba76YZVUpHRWg3k7-X_gRbgY8vanEAgzCB8mGBF_hyfeKPsMugk2-YBg-S9-jmjpX1itYyaaSzV4otuN-yzgxVPEhaZZSsZH769NT--6yEsJpZlM8NHWBCp6lLOfIn7tXYFn0Nkl3JkykJuNExOzdbAPB8Auk7OFgpdBRVH50f765L2qZ44VOFhoj-GeutdkYkglro32Mbri1xKDUgb755BQbgl_TRLYTXs.mAddw7Ea2FhyIESrMLCTclAjEWtolihLVFGIKHiKtUo&amp;dib_tag=se&amp;keywords=breadboard+jumper+wire+kit&amp;qid=1774373610&amp;sprefix=breadboard+jumper+wire+ki%2Caps%2C181&amp;sr=8-7</t>
  </si>
  <si>
    <t>DC Power Connector, Jack, Screw</t>
  </si>
  <si>
    <t>FIT0151</t>
  </si>
  <si>
    <t>https://ie.farnell.com/dfrobot/fit0151/dc-barrel-adapter-jack-5-5x2-1mm/dp/4308210?CMP=KNC-GIE-GEN-Shopping-Pmax-New&amp;mckv=_dc%7Cpcrid%7C%7C&amp;gad_source=1&amp;gad_campaignid=22128113228&amp;gbraid=0AAAAAD8yeHmb6XQ1Ooa6OtHWM_rfQxgK3&amp;gclid=Cj0KCQjw7IjOBhDyARIsAFzrWQzUfCj7Szaap4B8m0tx_He-YntIbEx9kkgGDgefMjGx4QEPlQaGn-4aAvfhEALw_wcB</t>
  </si>
  <si>
    <t>Power Adapter</t>
  </si>
  <si>
    <t>Mean Well</t>
  </si>
  <si>
    <t>MEAN WELL 30W Power Brick AC/DC Adapter 5V dc Output, 6A Output</t>
  </si>
  <si>
    <t>GST60A05-P1J</t>
  </si>
  <si>
    <t>PELB1202</t>
  </si>
  <si>
    <t>LEAD UK PLUG TO IEC C13 BLACK 0.5M</t>
  </si>
  <si>
    <t>Pro Elec</t>
  </si>
  <si>
    <t>https://ie.farnell.com/pro-elec/pelb1202/lead-uk-plug-to-iec-c13-black/dp/4690705?CMP=KNC-GIE-GEN-Shopping-Pmax-New&amp;mckv=_dc%7Cpcrid%7C%7C&amp;gad_source=1&amp;gad_campaignid=22128113228&amp;gbraid=0AAAAAD8yeHmb6XQ1Ooa6OtHWM_rfQxgK3&amp;gclid=Cj0KCQjw7IjOBhDyARIsAFzrWQz-qQ6VXk8Y7-ErCWc5Na8sC8z3WpYCE9PhtqMLGsSZaG3iYuss6HkaAtKqEALw_wcB</t>
  </si>
  <si>
    <t>KDS3012P</t>
  </si>
  <si>
    <t>Kahnetics</t>
  </si>
  <si>
    <t>Tenn Well</t>
  </si>
  <si>
    <t>100m Green Garden Wire, Flexible Plant Wire Twist Ties with Cutter for Gardening Climbing Plants, Vines, Shrubs and Flowers</t>
  </si>
  <si>
    <t>https://www.amazon.ie/tenn-well-Flexible-Gardening-Climbing/dp/B08ZC5G8V2/ref=sr_1_12?adgrpid=174819309733&amp;dib=eyJ2IjoiMSJ9.JaDai8rkMg77Ihku6KORji7mLT5HpOgSFTPwdes53CjnEYaZOJ58DsGJohax-BwE4bATYZFNiHGx0mcYsE-mVjrsNE63W3IjM-1xnEMxZW5BGHDT93nIWIIezcLzMA52oQjqplkmSCMcMvyL-a7aonLLnEqDdjJlJQd48RGPHNPs4CzRKNabL8dP63IRkk6c7sZ5qkLlADlvJbaKPG0dSVwkPOrihPfLlpDwwIvwoexpfx2rne-ga-9z1l6mTGFPkrQDfiFBwjpbCrqtWftv8cCQuiszqX-gwOv3BcSkdyQ.wrXHdY_N3Lh9ymvdFj2MZe1_77b2b4FRVAIoFOcwoSw&amp;dib_tag=se&amp;gad_source=1&amp;hvadid=739624586121&amp;hvdev=c&amp;hvlocphy=1007850&amp;hvnetw=g&amp;hvqmt=e&amp;hvrand=12007122576768931918&amp;hvtargid=kwd-296866735399&amp;hydadcr=26439_2877180&amp;keywords=garden%2Bwire&amp;qid=1774374661&amp;sr=8-12&amp;th=1</t>
  </si>
  <si>
    <t>B08ZC5G8V2</t>
  </si>
  <si>
    <t>Mfg./Sup. Part #</t>
  </si>
  <si>
    <t>Q-Connect</t>
  </si>
  <si>
    <t>Q-Connect 24/6 Metal Precision Engineered Staples (1000 Pack)</t>
  </si>
  <si>
    <t>https://www.amazon.ie/Q-Connect-Metal-Precision-Engineered-Staples/dp/B002MXE9JQ/ref=sr_1_5?adgrpid=175589183035&amp;dib=eyJ2IjoiMSJ9.rWwb_jYclYuZojRFPNRZvCX8EkjucFM4ckvDqjgv56_ZGw5eVLfkkrb0lM5NxHeUcG22lsFsMhBmTiCYRDc4ViOAmh9XWwGJOthVWPBGwFuN0NYjSeJOcgB3HSkqtUOBSbfxSAUOJ_D3YMPcahBIrTrqkoZg7AfkIbbuYeql3olWo5v9D71WUn5Zb9m61s1yiayP2HRGL3U7Et9kuaZfiGhhMZAjJtJiDPoQs-joX9A2VdwthWVmHyqcnrCImjrkJ6YnTmndbly-lucNb2Hp1q5zGBiJxq3YOQ6b4Og7c94.zVtHgfUUM-shpxuWIL3XVKyyHPnlr0J-opHiEtuysCQ&amp;dib_tag=se&amp;gad_source=1&amp;hvadid=739624557987&amp;hvdev=c&amp;hvlocphy=1007850&amp;hvnetw=g&amp;hvqmt=e&amp;hvrand=374382684355706996&amp;hvtargid=kwd-301533371703&amp;hydadcr=28488_2545942&amp;keywords=staples%2B24%2F6&amp;qid=1774374831&amp;sr=8-5&amp;th=1</t>
  </si>
  <si>
    <t>B002MXE9JQ</t>
  </si>
  <si>
    <t>https://www.amazon.ie/Bacterial-Laboratory-Accessories-Equipment-Plastic-60mm-10Pcs/dp/B0BB9RLV52/ref=sr_1_3?crid=2K1F0JFUX1JHV&amp;dib=eyJ2IjoiMSJ9.WTSV4OXRGm_wV1huKfRGJWbB-wonjDVcCTnB7lgobePc4wGKc8Qzv59xZo1Z3EbDStRd1b7GML55HcL1c7RWzGCkZ-FeiT2VCrUIBeMi8WTeVsUj_iZfYNH8wbyUgnsxc1HmkJnEUmXJMAqYTD1kvXw1e9y0PT2P9s4IUrc75KgjKCn5jwEydjF7yndEQjTyj3QCVrIDO9H_KI5lMApoAZmj1FZ_dM_YADs1qP2mKSgi2fCMv043JAHh4ZST-_OZ0TODmQUfYK4eM5vNvrdRAdOOd8NzY7elfFJenw7mNdI.8NOxx73mqYRFhcA0Mbi4mZVWP6Tf8ab-y7GzpKq9Mkc&amp;dib_tag=se&amp;keywords=petri%2Bdish%2B60%2Bmm&amp;qid=1774375042&amp;sprefix=petri%2Bdish%2B60%2Bmm%2Caps%2C55&amp;sr=8-3&amp;th=1</t>
  </si>
  <si>
    <t>10 Pcs Plastic Petri Dish, Sterile Bacterial Culture Dish, Laboratory Plant Cell Tissue Petri Dish Accessories for Lab Supplies, School Science Equipment (Plastic-60mm-10Pcs)</t>
  </si>
  <si>
    <t>B0BB9RLV52</t>
  </si>
  <si>
    <t>Melgo</t>
  </si>
  <si>
    <t>Korbond CORE Mix Polyester Thread Selection by Korbond-12 x 32m spools – 10 Colours – 384 metres – Hand and Machine Sewing, Repairs, Crafting, White</t>
  </si>
  <si>
    <t>Korbond</t>
  </si>
  <si>
    <t>B007MCRA84</t>
  </si>
  <si>
    <t>https://www.amazon.ie/Korbond-Polyester-Thread-Selection-Korbond-12/dp/B007MCRA84/ref=sr_1_5?adgrpid=174959828396&amp;dib=eyJ2IjoiMSJ9.cGxskkPe8voLLT0zw6UGyFv0jcBjwGpnWgq13Kq7RJ-YP0z9ZLpEZ_5UkltLqCHdjvyPkxzGaG2sx_2RPzqZywQGUDKx6_61x9i3BSA9jRQGEEWB1l_S4rfmbOy-MI_2um0OanUwTzSGEoXhVK6aK2Bl-bVj7bF-zF8iLUlGoPOdGTqkK2auXT1_YPcAnKNR-dW79q5Nzz4sX-FsmKXEPTiWLLFv6bCdxpRffsb9lv6ACDoae13UVNBe6C6skzWILBLjNCb2f4LuPlRzEcapibyB-gyTUgd2syfwZo3povc.rczSj10VcIRr6up2jJMh4eFuo3BZsrUGSZLTpC9gyQs&amp;dib_tag=se&amp;gad_source=1&amp;hvadid=739730272781&amp;hvdev=c&amp;hvlocphy=1007850&amp;hvnetw=g&amp;hvqmt=e&amp;hvrand=10890328306146242116&amp;hvtargid=kwd-39549230&amp;hydadcr=5018_2454312&amp;keywords=sewing%2Bthread&amp;qid=1774375190&amp;sr=8-5&amp;th=1</t>
  </si>
  <si>
    <t>PETEC</t>
  </si>
  <si>
    <t>PETEC Silicone spray, 500 ml, 70850</t>
  </si>
  <si>
    <t>https://www.amazon.ie/PETEC-Silicone-spray-500-70850/dp/B018461HL2/ref=sr_1_4?adgrpid=173616327334&amp;dib=eyJ2IjoiMSJ9.PBqsSN0GGB5PNz-J3BWDeQXWX69D8jhAuueIAOU6qoDwvVXiKdguWKTxZ7pq6RunxOYQGnDWowG63pjngNV5sf9u1Nmo6q7uHoxKYwEtxGlZW4ClULGzLYiHb8qwMBy90nTqMPWs4AkENol0kpxwMhMhxJWlcl02fC5vYlcUUQqHMmk67ZSsRpQt-HRhE91vhbEksGH6q03-TZrgy8EysIJkrNNp7dfO4iN4GPf1MdQ8QKzi-5bEs6C4BSYTwk8AX21-Blm2ZaPRm7O98YdfFsHiZ8I7sPr33QAgQOAI_n4.3zDh2COtf4UI4mfWfGsBX-d-ix_InjbyHULI2wMQHeY&amp;dib_tag=se&amp;gad_source=1&amp;hvadid=739737594476&amp;hvdev=c&amp;hvlocphy=1007850&amp;hvnetw=g&amp;hvqmt=e&amp;hvrand=4329585647599261949&amp;hvtargid=kwd-253203967&amp;hydadcr=15344_2417459&amp;keywords=silicone+spray+lubricant&amp;qid=1774375291&amp;sr=8-4</t>
  </si>
  <si>
    <t>Loctite</t>
  </si>
  <si>
    <t>Loctite 950014 Superglue Gel</t>
  </si>
  <si>
    <t>https://www.amazon.ie/Loctite-2056169-950014-Superglue-Gel/dp/B00U1OPL8Q/ref=sr_1_5?crid=2NPRO5XODENME&amp;dib=eyJ2IjoiMSJ9.aQRjr2nR49R9jHbJfiFpu2zH3L4CICTGnhTArv7cPdX6i2Wk3pQyfqClh2vo5oGt_Bq-hiZ24R2b8Yqeqytsd5SK3y5QI6b5xsnDBTPDX5rdpgZZKeVbS1WJvg5zH8v5Urpj1A9Tv2_V6BiPZr8g8V6qu9qKp3kgYF8WFA9Jco4uN-nZLZLA1SuavTF18wP7joYpLWydRJdXadw6xSLFgA3N3rdha20TFXRiZ6Esii8L-ZjKI5Rw9UR_NrEYcYXr4J0hEcOv878R7tX03ahNvmH5pBgldpnBxjxBEAGQaXo.ed65uxlgOnhnIujcIRkIHy3xL-OfuEWFtAJGT2LSQCg&amp;dib_tag=se&amp;keywords=Super+Glue&amp;qid=1774375360&amp;sprefix=super+glue%2Caps%2C63&amp;sr=8-5</t>
  </si>
  <si>
    <t>Cutex</t>
  </si>
  <si>
    <t>Cutex Nourishing Nail Polish Remover 200 ml</t>
  </si>
  <si>
    <t>https://www.amazon.ie/Cutex-Nourishing-Nail-Polish-Remover/dp/B06XB9Q6ZX/ref=sr_1_5?crid=1L92NABUBNFOI&amp;dib=eyJ2IjoiMSJ9.4JHn-jOpvyST3kfTGMeonncqxvrlA81zgE8hvTgv312v4Ulf4OcVeNbc0vm3JKc_vchJx2aoP2qd8N1-MNVI2jda09dlx0V-Hl5M37a060ieZ08uLDzXizVoR3YWpZ85in-S73eXL6cbf63fsCZpkvSiySvAM4oaV47OONphNTy4sXSxOSrzEHHdw5s-FqD8SaQwLVeoVg4ULz6PdY9v2BUN1q5hdJ-UhwWbS4dN3CPQop3hJ6I5kaGLFvHoR94caY4I5hvU0B6tBREzLhhcLLKkIpU_ZsLa7hYIAG5ruog.ZGmx_eqINCgiZVOmZzBpsAKsjSoGAL81kH4ZraatVAc&amp;dib_tag=se&amp;keywords=Nail+Polish+Remover&amp;qid=1774375412&amp;sprefix=nail+polish+remover%2Caps%2C89&amp;sr=8-5</t>
  </si>
  <si>
    <t>Bostik</t>
  </si>
  <si>
    <t>BOSTIK Blu Tack Light Blue - Permanent Plastic Reusable Adhesive, Reliable and Removable Fixation, 46 g</t>
  </si>
  <si>
    <t>‎5048700002</t>
  </si>
  <si>
    <t>https://www.amazon.ie/BOSTIK-Blu-Tack-Light-Blue/dp/B0015M12G8/ref=sr_1_2?crid=1BSTABELVX55M&amp;dib=eyJ2IjoiMSJ9.fEidfBGQR9Hg2xFyTgmj4jjW4pC5-GgrFhqZpa5gm5b0Fta7h71spKT5Q8PB3rCMDuof_tvjl_9AIXcIyJ_ZB0e2KkkTpjShActrs07sAj8Llz8FhotE6tFtDO2N-CIloZ2otqeRY_B19ilcz50Tw5ftdNMMyST-GFziLtw1vKdUWmPv--fOG5HGpNdebDWfbBajV1lkED4YCB4Uj5dZGnJZVVY9MDklOYmeqkGouZ4283astohoANB6himqLDMOqvXT5mjqw6JPeDzBVZkKMu3XvU6pqz5nrrp-h7kKzM0.M4hyMd7CWWDNNj3JFJPZDjjuwumILO5P3ol9h_dUb6Y&amp;dib_tag=se&amp;keywords=blue+tac&amp;qid=1774375512&amp;sprefix=blue+tac%2Caps%2C64&amp;sr=8-2</t>
  </si>
  <si>
    <t>Matador</t>
  </si>
  <si>
    <t>Matador 0440 0030 Allen Key Short, Hexagonal, 3 mm</t>
  </si>
  <si>
    <t>0440 0030</t>
  </si>
  <si>
    <t>https://www.amazon.ie/Matador-0440-0030-Allen-Hexagonal/dp/B00PLYHWGU/ref=sr_1_3?crid=2Q3W5AOY3LLAZ&amp;dib=eyJ2IjoiMSJ9.mfpVCeP309Kb5LgE63SGHU3L1KKerA5oG6SnvQnBd-lm5wNwGS720ysuGHqusGyinZV34uPoX1sgMp7e85dmqP-pH1gNPUU0zIRynjG50fucFTvGiaNmY1fkDVW3PSOEd1JvxZBO9GrlgEY56gyYe2PcCQ6W4pMX_-1gqg3vuZ88vPHxiGIG0hI6ZJukAAad-sE3VlkRvT3-VpMNjZPeM7gw0aYq0vxCUHIRcY5ggki71nKmmRaK8v_CY2XWLJkABj4HWBX2oa3f5uJaFj5bS5_QiLoeTIQ9H3FhDCp-tvg.s5juP8Y0noYl9HRllYCNa19rhTGj5zHtiap3-49i4OI&amp;dib_tag=se&amp;keywords=3mm%2Ballen%2Bkey&amp;qid=1774375607&amp;sprefix=3mm%2Ballen%2Bkey%2Caps%2C63&amp;sr=8-3&amp;th=1</t>
  </si>
  <si>
    <t>Salter</t>
  </si>
  <si>
    <t>Salter 1066 BKDR15 Arc Kitchen Scale – Digital Food Weighing Scales For Precise Cooking/Baking, Slim Platform for Compact Storage, Add &amp; Weigh/Tare Function, 3kg Capacity, Battery Included, Black</t>
  </si>
  <si>
    <t>1066 BKDR15</t>
  </si>
  <si>
    <t>https://www.amazon.ie/gp/aw/d/B00140VYEG/?_encoding=UTF8&amp;pd_rd_plhdr=t&amp;aaxitk=7cbafefce3d7e709439bdd2409773615&amp;hsa_cr_id=0&amp;qid=1774375689&amp;sr=1-2-e0fa1fdd-d857-4087-adda-5bd576b25987&amp;aref=L250n6CW7a&amp;ref_=sbx_s_sparkle_sbtcd_asin_1_title&amp;pd_rd_w=2h6Cj&amp;content-id=amzn1.sym.af65b82f-9b9c-4873-ae55-26629b0e9908%3Aamzn1.sym.af65b82f-9b9c-4873-ae55-26629b0e9908&amp;pf_rd_p=af65b82f-9b9c-4873-ae55-26629b0e9908&amp;pf_rd_r=WFG7TMVW510144XJFPHR&amp;pd_rd_wg=uzmOf&amp;pd_rd_r=e938eb3f-7477-41dc-a2bf-c04e6f1200c6&amp;th=1</t>
  </si>
  <si>
    <t>Velleman VTSTRIP1E Adjustable Wire Stripper/Cutter, Multi-Colour</t>
  </si>
  <si>
    <t>VTSTRIP1E</t>
  </si>
  <si>
    <t>https://www.amazon.ie/Velleman-VTSTRIP1E-Adjustable-Stripper-Multi-Colour/dp/B003U3RB8S/ref=sr_1_10?crid=JQXX435M42GH&amp;dib=eyJ2IjoiMSJ9.myqyHsxw6nC7ccM9QLlPNYk3KOIFbBJKyL6uKHCZpkYbngFCrRmDczbv4U05ksOOHltUdzlMVyESiOdxZs4BT4EuA-iQUL-REByhVuDm_USwii1oH_PcJ6s4Qts-oBcu6Cg8zdHHFHIUgsmIPQOeaWYYaCf0FV3QnOYqSc2O3efoGUV7Ik_o9JM5z2ic9Rld_iBFENDZHZLnBVi95_RoDxkr73RkvfTMAmhWqyi5KCN_vnlf3NKC5uIsBUU_0--NuUVDyHn8UlC1FihtxSiNW6UyBu4G5diEG958r1pXTd4.2XpEE_aL6WWGlG5Lwvh2YP5kPgIM9fyf9-3WQXtj4KY&amp;dib_tag=se&amp;keywords=wire+strippers&amp;qid=1774375749&amp;s=industrial&amp;sprefix=wire+strippers%2Cindustrial%2C62&amp;sr=1-10</t>
  </si>
  <si>
    <t>Wancle Sous Vide Sous Vide Machine Precision Cooker 1100W Sous Vide Cooker IPX7 Waterproof Immersion Circulator With Reservation Function Easy to Store (Black)</t>
  </si>
  <si>
    <t>Wancle</t>
  </si>
  <si>
    <t>M820</t>
  </si>
  <si>
    <t>https://www.amazon.ie/Wancle-Precision-Waterproof-Circulator-Reservation/dp/B094921FYY?th=1</t>
  </si>
  <si>
    <t>Bambu Lab</t>
  </si>
  <si>
    <t>Bambu Lab A1 3D Printer</t>
  </si>
  <si>
    <t>https://eu.store.bambulab.com/products/a1?id=599117150694776840</t>
  </si>
  <si>
    <t>GSW</t>
  </si>
  <si>
    <t>GSW Stahlwaren Stock Pot with Glass Lid, Stainless Steel, Polished Finish, 5 Litre, 20x18cm, Silver/Clear</t>
  </si>
  <si>
    <t>https://www.amazon.ie/GSW-Stahlwaren-Stainless-Polished-20x18cm/dp/B01LXV1FI1/ref=sr_1_5?crid=2B7DYT9P8HSDV&amp;dib=eyJ2IjoiMSJ9.OFETZkheDyLd5hFcG8Oz8CmpBewOb50FC_s8W-G6RceFTeXRIO3KCWIfrLiJa2DkbMD1qAPuBbxjP5AxFxR5WT6q7ht5L3pF8VYw-fYD_KdYIKDUdFKFTgKAHnDnj2f8nO57q3W8I7QZQebSR8iT75JZS6lZYwmOEySDe3n74vqKLHjGQkSqfo0AXgXYLQWpx0f9db3TvV1KN78EK3iOXCfDLTv6KDCbmhSgToyg5Ns.JiY9DvAc__fSLlbiR9jZcgx1daUmlwt20QwwTw0UwEo&amp;dib_tag=se&amp;keywords=cooking%2Bpot&amp;qid=1774376255&amp;s=home&amp;sprefix=cooking%2Bpot%2Chome%2C69&amp;sr=1-5&amp;th=1</t>
  </si>
  <si>
    <t>HP Chromebook 15.6" | Intel Celeron N4500 Processor | 4 GB RAM | 128 GB eMMC | Intel UHD Graphics | HD Display | Up to 11 hours battery | Chrome OS | Dual Speakers | Mineral Silver | 15a-na0005sa</t>
  </si>
  <si>
    <t>HP</t>
  </si>
  <si>
    <t>9V2S8EA#ABU</t>
  </si>
  <si>
    <t>https://www.amazon.ie/HP-Chromebook-Processor-Graphics-15a-na0005sa/dp/B0CRHC4GTZ/ref=sr_1_1?crid=26MBUVSP6XADD&amp;dib=eyJ2IjoiMSJ9.U6RrlyYgGC6d171qthaU9ZF0Dcpv9NcGWzj_6gP-mq_vzizf8CNaU3mAtAox8ke5OYQLJDSSjUHKT8T4kj3b89QhoZ5GoskfmMi4dwjJnhxGw5EtV0p18foTO7oBQYQUFZg5xaSXGb5icpmKAQsRHJVsOM5Ri1KiufPaga1vCHK9xPHjNZoUzR5I5Hbwu3uJ5iXF-L5UhBXcbI7VJgaisEjAfjH4aLyT1QsyDlxcsoI.LcKTGaF4volKtOeuHfllXTeCFtPNRGXBwwz0rxS6xKg&amp;dib_tag=se&amp;keywords=chromebook&amp;qid=1774376327&amp;sprefix=chromebook%2Cspecialty-aps%2C86&amp;sr=8-1&amp;th=1</t>
  </si>
  <si>
    <t>PalliPartners</t>
  </si>
  <si>
    <t>Microscopes for Kids Students Adults, 100X-2000X Powerful Biological Microscopes for Home Education,with Microscope Slides Set, Phone Adapter</t>
  </si>
  <si>
    <t>SMUK-XWJ-01</t>
  </si>
  <si>
    <t>https://www.amazon.ie/Microscopes-100X-2000X-Biological-Education-Microscope/dp/B0FHL13BF7/ref=sr_1_10?crid=3U9QIKDR9ZN9U&amp;dib=eyJ2IjoiMSJ9.QzO-0rePLpjx5da53TvZj06B0tRVNb4ZGZzU8a-6nuRA5gfwt5J5JOgs5UflpN0oVfxi7p7dQPKfieUQ30OgpcSfykG15uIfvcTrkSrCiC3PUE7kVkMgqasqoVK1xw5XdYs5L5h4_WUkz5j4GRQA4sb-buXmQNmvtViKtCVGVDnTwYiXuXYXMTiQku7o8iV0TfrnrATGIEtpJLNElNmeL7faog3Q8PFf4qQH6KJHFJ23A-NvFNxtQYNRufGQlhCVDsP5p0n1Ah33SDFUmACXiVEYmkiwGg8jdnhT9mwwI08.g91qhFM10mo1V3X16CfHzXqATXvDXlUySR_u18tvg2c&amp;dib_tag=se&amp;keywords=brightfield%2Bmicroscope&amp;qid=1774376390&amp;sprefix=brightfield%2Bmicroscope%2Caps%2C63&amp;sr=8-10&amp;th=1</t>
  </si>
  <si>
    <t>Leur Lock</t>
  </si>
  <si>
    <t>30pcs Syringe Adapter, Clear Female Luer Lock 1/8" Luer Lock Connector Kit to Syringe Coupler Adapter (3.2mm)</t>
  </si>
  <si>
    <t>AIEX</t>
  </si>
  <si>
    <t>B13246</t>
  </si>
  <si>
    <t>https://www.amazon.ie/Syringe-Adapter-Female-Connector-Coupler/dp/B0BMFJSJP1/ref=sr_1_7?adgrpid=184449477008&amp;dib=eyJ2IjoiMSJ9.98YRqnMaglBZ_Mw7NOmXsSygVMX0K7RKxhWDrvrt42MZeQdiGg9FNBQGFTkg2BeIdste6ZojnMpM5Lms4c8J9yq6vVIq0Dr8LoEx4K92FS_bXD-cn5sis6ssJbRb1uKqBL0qrKIxkjnEBqv4TTNwfFCBJFtL2-mE2BaLAlwnIb4CdBoY3HUt7xrvycqUsfbywDCLvRgHtqBJZX2nbjhfwC7Ta3gRpic1Js0FQpL-mSeBCqbEppZ8hxsNdWomgumMJgPTt4hYvwCi6KnRm2FJCaqNRJGUEAWFV49B6qhGKsA.qLCaw07kewbq_Z-yvRY-XatkoStQyqtki5fCACnx2lE&amp;dib_tag=se&amp;gad_source=1&amp;hvadid=749557497774&amp;hvdev=c&amp;hvlocphy=1007850&amp;hvnetw=g&amp;hvqmt=b&amp;hvrand=4579167085094051697&amp;hvtargid=kwd-299122711424&amp;hydadcr=1913_2361712&amp;keywords=luer+lock+connector&amp;qid=1774377300&amp;sr=8-7</t>
  </si>
  <si>
    <t>Thermometer</t>
  </si>
  <si>
    <t>EUROPAPA Digital Fever Thermometer for Babies, Children and Adults, Thermometer for Oral, Axillary or Rectal Use, Waterproof with Fever Alarm (Purple)</t>
  </si>
  <si>
    <t>Europapa</t>
  </si>
  <si>
    <t>https://www.amazon.ie/EUROPAPA-Thermometer-Children-Axillary-Waterproof/dp/B0CBP1F19R/ref=sr_1_2_sspa?crid=QPWHF76P3UDA&amp;dib=eyJ2IjoiMSJ9.Z6VbW3vxoYhe_mLvzRrrK_QONFFVlLdcUYEqVzSW3pPf4wZoR0VDIxRJTbuDWej1u2RwRCMnns8BoDVXGRdGHQPeo9TRPFHgOh-9gR0RiUGeOvsTSVwCPx1zO-GZKgi5nNd5DAIsmdtKbUa5j6z48qt-bFLIuGffkcG9PRnMUi67qARiDSrACuSyvf52DT4ndgBBIbfqGaaVDgxSiR2vVivANmA46TeqKJK59lynQnDrtbwd4Rs6-W4wGv9R-F_faRWqVfPl5X4v8Z1T352utXIc15pF0rd1SKosaf8QkfY.NLPOezcSGwjlOAh1H86_p9MoKcHJiwn42jrYQNDRHok&amp;dib_tag=se&amp;keywords=digital%2Bthermometer&amp;qid=1774377457&amp;sprefix=digital%2Bthermo%2Caps%2C72&amp;sr=8-2-spons&amp;aref=6UbL6g3Mna&amp;sp_csd=d2lkZ2V0TmFtZT1zcF9hdGY&amp;th=1</t>
  </si>
  <si>
    <t>Unit Cost (€)</t>
  </si>
  <si>
    <t>Cost INC VAT (€)</t>
  </si>
  <si>
    <t>Construction Tools</t>
  </si>
  <si>
    <t>Vessel Bath Components</t>
  </si>
  <si>
    <t>Pressure Components</t>
  </si>
  <si>
    <t>Construction Consumables</t>
  </si>
  <si>
    <t>Testing Consumables</t>
  </si>
  <si>
    <t>Testing Tool</t>
  </si>
  <si>
    <t>Legend</t>
  </si>
  <si>
    <t>Des.</t>
  </si>
  <si>
    <t>Velcro</t>
  </si>
  <si>
    <t>VELCRO® Brand | Stick On Tape | Cut-to-Length Strong Hook &amp; Loop Self Adhesive Sticky Tape Perfect for Room Décor &amp; Home, Office, Garage Use | Black | 20mm x 1m</t>
  </si>
  <si>
    <t>https://www.amazon.ie/VELCRO®-Brand-Length-Adhesive-Perfect/dp/B0017S83PI/ref=sr_1_5?crid=1F6Y7XWWSLYV5&amp;dib=eyJ2IjoiMSJ9.9LylQbXg4FB4DEUEAWj0ePLA14NAT7bZh5QYnZ17TySBbBVPPvEvgTLCylSCVIYhGeHSoVNeEPo_kZfRlGzuAe_A7p7-Fq0BCDMR7ILHciWDO0tO44stUm6sH3U74M67X2Qnco9F0Q0av0BEqsv6gFqW86VaEG50I8UapMOMZFsYsD06bC0bFhdv7KCWXGR_GmaJ6jBCRNKP2SJhC_NtZ_UyTsbFC07gER7oNdV_0W7eV_r1Z2Z9_rLGflkHDAvhzVkmkz1uRMD22604lDwqY0Db2bQnou9NIrHeZ6BOBI8.6D5xbU-MTx3Xb-d133ahYiUbpBPzKNsS54aVfqukOF8&amp;dib_tag=se&amp;keywords=velcro&amp;qid=1774378939&amp;sprefix=velcro%2Caps%2C73&amp;sr=8-5</t>
  </si>
  <si>
    <t>Hook and Loop Fastener</t>
  </si>
  <si>
    <t>M3 Washer</t>
  </si>
  <si>
    <t>M4 Hex Nut (Full)</t>
  </si>
  <si>
    <t>18-8 Stainless Steel General Purpose Washer</t>
  </si>
  <si>
    <t>93475A230</t>
  </si>
  <si>
    <t>https://www.mcmaster.com/93475A230/</t>
  </si>
  <si>
    <t>Prototype (Total)</t>
  </si>
  <si>
    <t>Prototype (Unit)</t>
  </si>
  <si>
    <t>HemoLens (Unit)</t>
  </si>
  <si>
    <t>HemoLens (Total)</t>
  </si>
  <si>
    <t>VasoTracker 1 (Unit)</t>
  </si>
  <si>
    <t>VasoTracker 2 (Unit)</t>
  </si>
  <si>
    <t>MDE IS-05 Wire Myograph (Unit)</t>
  </si>
  <si>
    <t>DMT Pressure Myograph System - 112PP (Unit)</t>
  </si>
  <si>
    <t>LSI 2-Channel Self-Heated Wire Myograph Package (Unit)</t>
  </si>
  <si>
    <t>Total</t>
  </si>
  <si>
    <t>Temperature Components</t>
  </si>
  <si>
    <t>* INC VAT, everything listed except Additional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</si>
</sst>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Inria Sans Regular"/>
    </font>
    <font>
      <sz val="12"/>
      <color rgb="FF161616"/>
      <name val="Inria Sans Regular"/>
    </font>
    <font>
      <sz val="12"/>
      <color rgb="FF0F1111"/>
      <name val="Inria Sans Regular"/>
    </font>
    <font>
      <sz val="12"/>
      <color rgb="FF333333"/>
      <name val="Inria Sans Regular"/>
    </font>
    <font>
      <sz val="12"/>
      <color rgb="FF1F1F1F"/>
      <name val="Inria Sans Regular"/>
    </font>
    <font>
      <sz val="5"/>
      <color theme="1"/>
      <name val="Inria Sans Regular"/>
    </font>
    <font>
      <u/>
      <sz val="5"/>
      <color theme="10"/>
      <name val="Inria Sans Regular"/>
    </font>
    <font>
      <b/>
      <sz val="12"/>
      <color theme="1"/>
      <name val="Inria Sans Regular"/>
    </font>
    <font>
      <sz val="12"/>
      <color rgb="FF000000"/>
      <name val="Inria Sans Light"/>
    </font>
    <font>
      <b/>
      <i/>
      <sz val="12"/>
      <color theme="1"/>
      <name val="Inria Sans Regula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9" fillId="0" borderId="32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8" fillId="2" borderId="9" xfId="1" applyFont="1" applyFill="1" applyBorder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8" fillId="3" borderId="19" xfId="1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8" fillId="3" borderId="9" xfId="1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7" fillId="4" borderId="19" xfId="0" applyFont="1" applyFill="1" applyBorder="1" applyAlignment="1">
      <alignment horizontal="left"/>
    </xf>
    <xf numFmtId="0" fontId="2" fillId="4" borderId="26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0" fontId="7" fillId="5" borderId="16" xfId="0" applyFont="1" applyFill="1" applyBorder="1" applyAlignment="1">
      <alignment horizontal="left"/>
    </xf>
    <xf numFmtId="0" fontId="2" fillId="5" borderId="17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7" fillId="6" borderId="9" xfId="0" applyFont="1" applyFill="1" applyBorder="1" applyAlignment="1">
      <alignment horizontal="left"/>
    </xf>
    <xf numFmtId="0" fontId="3" fillId="6" borderId="9" xfId="0" applyFont="1" applyFill="1" applyBorder="1"/>
    <xf numFmtId="0" fontId="4" fillId="6" borderId="9" xfId="0" applyFont="1" applyFill="1" applyBorder="1"/>
    <xf numFmtId="0" fontId="5" fillId="6" borderId="9" xfId="0" applyFont="1" applyFill="1" applyBorder="1"/>
    <xf numFmtId="0" fontId="6" fillId="6" borderId="9" xfId="0" applyFont="1" applyFill="1" applyBorder="1"/>
    <xf numFmtId="0" fontId="2" fillId="6" borderId="22" xfId="0" applyFont="1" applyFill="1" applyBorder="1" applyAlignment="1">
      <alignment horizontal="left"/>
    </xf>
    <xf numFmtId="0" fontId="2" fillId="6" borderId="23" xfId="0" applyFont="1" applyFill="1" applyBorder="1" applyAlignment="1">
      <alignment horizontal="left"/>
    </xf>
    <xf numFmtId="0" fontId="3" fillId="6" borderId="23" xfId="0" applyFont="1" applyFill="1" applyBorder="1"/>
    <xf numFmtId="0" fontId="7" fillId="6" borderId="23" xfId="0" applyFont="1" applyFill="1" applyBorder="1" applyAlignment="1">
      <alignment horizontal="left"/>
    </xf>
    <xf numFmtId="0" fontId="9" fillId="0" borderId="27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2" fillId="7" borderId="23" xfId="0" applyFont="1" applyFill="1" applyBorder="1" applyAlignment="1">
      <alignment horizontal="left"/>
    </xf>
    <xf numFmtId="0" fontId="7" fillId="7" borderId="2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2" fillId="8" borderId="22" xfId="0" applyFont="1" applyFill="1" applyBorder="1" applyAlignment="1">
      <alignment horizontal="left"/>
    </xf>
    <xf numFmtId="0" fontId="2" fillId="8" borderId="23" xfId="0" applyFont="1" applyFill="1" applyBorder="1" applyAlignment="1">
      <alignment horizontal="left"/>
    </xf>
    <xf numFmtId="0" fontId="7" fillId="8" borderId="23" xfId="0" applyFont="1" applyFill="1" applyBorder="1" applyAlignment="1">
      <alignment horizontal="left"/>
    </xf>
    <xf numFmtId="0" fontId="2" fillId="8" borderId="30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8" borderId="15" xfId="0" applyFont="1" applyFill="1" applyBorder="1" applyAlignment="1">
      <alignment horizontal="left"/>
    </xf>
    <xf numFmtId="0" fontId="2" fillId="0" borderId="34" xfId="0" applyFont="1" applyBorder="1" applyAlignment="1">
      <alignment horizontal="left"/>
    </xf>
    <xf numFmtId="14" fontId="2" fillId="0" borderId="14" xfId="0" applyNumberFormat="1" applyFont="1" applyBorder="1" applyAlignment="1">
      <alignment horizontal="left"/>
    </xf>
    <xf numFmtId="0" fontId="0" fillId="0" borderId="20" xfId="0" applyBorder="1"/>
    <xf numFmtId="0" fontId="0" fillId="0" borderId="35" xfId="0" applyBorder="1"/>
    <xf numFmtId="0" fontId="0" fillId="0" borderId="1" xfId="0" applyBorder="1"/>
    <xf numFmtId="0" fontId="0" fillId="0" borderId="38" xfId="0" applyBorder="1"/>
    <xf numFmtId="0" fontId="0" fillId="0" borderId="39" xfId="0" applyBorder="1"/>
    <xf numFmtId="0" fontId="0" fillId="0" borderId="0" xfId="0" applyBorder="1"/>
    <xf numFmtId="0" fontId="10" fillId="0" borderId="21" xfId="0" applyFont="1" applyBorder="1"/>
    <xf numFmtId="0" fontId="0" fillId="0" borderId="40" xfId="0" applyBorder="1"/>
    <xf numFmtId="0" fontId="2" fillId="9" borderId="13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left"/>
    </xf>
    <xf numFmtId="0" fontId="7" fillId="9" borderId="9" xfId="0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2" fillId="9" borderId="16" xfId="0" applyFont="1" applyFill="1" applyBorder="1" applyAlignment="1">
      <alignment horizontal="left"/>
    </xf>
    <xf numFmtId="0" fontId="7" fillId="9" borderId="16" xfId="0" applyFont="1" applyFill="1" applyBorder="1" applyAlignment="1">
      <alignment horizontal="left"/>
    </xf>
    <xf numFmtId="0" fontId="5" fillId="9" borderId="9" xfId="0" applyFont="1" applyFill="1" applyBorder="1"/>
    <xf numFmtId="0" fontId="2" fillId="5" borderId="10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5" fillId="5" borderId="16" xfId="0" applyFont="1" applyFill="1" applyBorder="1"/>
    <xf numFmtId="0" fontId="0" fillId="0" borderId="42" xfId="0" applyBorder="1"/>
    <xf numFmtId="0" fontId="0" fillId="0" borderId="43" xfId="0" applyBorder="1"/>
    <xf numFmtId="0" fontId="0" fillId="0" borderId="33" xfId="0" applyBorder="1"/>
    <xf numFmtId="0" fontId="0" fillId="0" borderId="24" xfId="0" applyBorder="1"/>
    <xf numFmtId="0" fontId="0" fillId="0" borderId="25" xfId="0" applyBorder="1"/>
    <xf numFmtId="0" fontId="0" fillId="0" borderId="44" xfId="0" applyBorder="1"/>
    <xf numFmtId="2" fontId="0" fillId="0" borderId="36" xfId="0" applyNumberFormat="1" applyBorder="1"/>
    <xf numFmtId="2" fontId="0" fillId="0" borderId="19" xfId="0" applyNumberFormat="1" applyBorder="1"/>
    <xf numFmtId="2" fontId="0" fillId="0" borderId="26" xfId="0" applyNumberFormat="1" applyBorder="1"/>
    <xf numFmtId="2" fontId="0" fillId="0" borderId="37" xfId="0" applyNumberFormat="1" applyBorder="1"/>
    <xf numFmtId="2" fontId="0" fillId="0" borderId="9" xfId="0" applyNumberFormat="1" applyBorder="1"/>
    <xf numFmtId="2" fontId="0" fillId="0" borderId="14" xfId="0" applyNumberFormat="1" applyBorder="1"/>
    <xf numFmtId="2" fontId="0" fillId="0" borderId="41" xfId="0" applyNumberFormat="1" applyBorder="1"/>
    <xf numFmtId="2" fontId="0" fillId="0" borderId="23" xfId="0" applyNumberFormat="1" applyBorder="1"/>
    <xf numFmtId="2" fontId="0" fillId="0" borderId="30" xfId="0" applyNumberFormat="1" applyBorder="1"/>
    <xf numFmtId="2" fontId="0" fillId="0" borderId="35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10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2" fontId="2" fillId="0" borderId="14" xfId="0" applyNumberFormat="1" applyFont="1" applyBorder="1" applyAlignment="1">
      <alignment horizontal="left"/>
    </xf>
    <xf numFmtId="2" fontId="2" fillId="0" borderId="17" xfId="0" applyNumberFormat="1" applyFont="1" applyBorder="1" applyAlignment="1">
      <alignment horizontal="left"/>
    </xf>
    <xf numFmtId="2" fontId="2" fillId="2" borderId="19" xfId="0" applyNumberFormat="1" applyFont="1" applyFill="1" applyBorder="1" applyAlignment="1">
      <alignment horizontal="left"/>
    </xf>
    <xf numFmtId="2" fontId="2" fillId="2" borderId="26" xfId="0" applyNumberFormat="1" applyFont="1" applyFill="1" applyBorder="1" applyAlignment="1">
      <alignment horizontal="left"/>
    </xf>
    <xf numFmtId="2" fontId="2" fillId="2" borderId="9" xfId="0" applyNumberFormat="1" applyFont="1" applyFill="1" applyBorder="1" applyAlignment="1">
      <alignment horizontal="left"/>
    </xf>
    <xf numFmtId="2" fontId="2" fillId="2" borderId="14" xfId="0" applyNumberFormat="1" applyFont="1" applyFill="1" applyBorder="1" applyAlignment="1">
      <alignment horizontal="left"/>
    </xf>
    <xf numFmtId="2" fontId="2" fillId="6" borderId="9" xfId="0" applyNumberFormat="1" applyFont="1" applyFill="1" applyBorder="1" applyAlignment="1">
      <alignment horizontal="left"/>
    </xf>
    <xf numFmtId="2" fontId="2" fillId="6" borderId="14" xfId="0" applyNumberFormat="1" applyFont="1" applyFill="1" applyBorder="1" applyAlignment="1">
      <alignment horizontal="left"/>
    </xf>
    <xf numFmtId="2" fontId="2" fillId="6" borderId="23" xfId="0" applyNumberFormat="1" applyFont="1" applyFill="1" applyBorder="1" applyAlignment="1">
      <alignment horizontal="left"/>
    </xf>
    <xf numFmtId="2" fontId="2" fillId="6" borderId="30" xfId="0" applyNumberFormat="1" applyFont="1" applyFill="1" applyBorder="1" applyAlignment="1">
      <alignment horizontal="left"/>
    </xf>
    <xf numFmtId="2" fontId="2" fillId="9" borderId="9" xfId="0" applyNumberFormat="1" applyFont="1" applyFill="1" applyBorder="1" applyAlignment="1">
      <alignment horizontal="left"/>
    </xf>
    <xf numFmtId="2" fontId="2" fillId="9" borderId="14" xfId="0" applyNumberFormat="1" applyFont="1" applyFill="1" applyBorder="1" applyAlignment="1">
      <alignment horizontal="left"/>
    </xf>
    <xf numFmtId="2" fontId="2" fillId="9" borderId="16" xfId="0" applyNumberFormat="1" applyFont="1" applyFill="1" applyBorder="1" applyAlignment="1">
      <alignment horizontal="left"/>
    </xf>
    <xf numFmtId="2" fontId="2" fillId="9" borderId="17" xfId="0" applyNumberFormat="1" applyFont="1" applyFill="1" applyBorder="1" applyAlignment="1">
      <alignment horizontal="left"/>
    </xf>
    <xf numFmtId="2" fontId="2" fillId="3" borderId="19" xfId="0" applyNumberFormat="1" applyFont="1" applyFill="1" applyBorder="1" applyAlignment="1">
      <alignment horizontal="left"/>
    </xf>
    <xf numFmtId="2" fontId="2" fillId="3" borderId="26" xfId="0" applyNumberFormat="1" applyFont="1" applyFill="1" applyBorder="1" applyAlignment="1">
      <alignment horizontal="left"/>
    </xf>
    <xf numFmtId="2" fontId="2" fillId="3" borderId="9" xfId="0" applyNumberFormat="1" applyFont="1" applyFill="1" applyBorder="1" applyAlignment="1">
      <alignment horizontal="left"/>
    </xf>
    <xf numFmtId="2" fontId="2" fillId="3" borderId="14" xfId="0" applyNumberFormat="1" applyFont="1" applyFill="1" applyBorder="1" applyAlignment="1">
      <alignment horizontal="left"/>
    </xf>
    <xf numFmtId="2" fontId="2" fillId="7" borderId="9" xfId="0" applyNumberFormat="1" applyFont="1" applyFill="1" applyBorder="1" applyAlignment="1">
      <alignment horizontal="left"/>
    </xf>
    <xf numFmtId="2" fontId="2" fillId="7" borderId="14" xfId="0" applyNumberFormat="1" applyFont="1" applyFill="1" applyBorder="1" applyAlignment="1">
      <alignment horizontal="left"/>
    </xf>
    <xf numFmtId="2" fontId="2" fillId="7" borderId="23" xfId="0" applyNumberFormat="1" applyFont="1" applyFill="1" applyBorder="1" applyAlignment="1">
      <alignment horizontal="left"/>
    </xf>
    <xf numFmtId="2" fontId="2" fillId="7" borderId="30" xfId="0" applyNumberFormat="1" applyFont="1" applyFill="1" applyBorder="1" applyAlignment="1">
      <alignment horizontal="left"/>
    </xf>
    <xf numFmtId="2" fontId="2" fillId="0" borderId="11" xfId="0" applyNumberFormat="1" applyFont="1" applyBorder="1" applyAlignment="1">
      <alignment horizontal="left"/>
    </xf>
    <xf numFmtId="2" fontId="2" fillId="0" borderId="12" xfId="0" applyNumberFormat="1" applyFont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2" fontId="2" fillId="0" borderId="5" xfId="0" applyNumberFormat="1" applyFont="1" applyBorder="1" applyAlignment="1">
      <alignment horizontal="left"/>
    </xf>
    <xf numFmtId="2" fontId="2" fillId="0" borderId="7" xfId="0" applyNumberFormat="1" applyFont="1" applyBorder="1" applyAlignment="1">
      <alignment horizontal="left"/>
    </xf>
    <xf numFmtId="2" fontId="2" fillId="0" borderId="8" xfId="0" applyNumberFormat="1" applyFont="1" applyBorder="1" applyAlignment="1">
      <alignment horizontal="left"/>
    </xf>
    <xf numFmtId="2" fontId="2" fillId="0" borderId="1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Vessel Bath Components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Analysis!$C$4:$D$4</c:f>
              <c:strCache>
                <c:ptCount val="2"/>
                <c:pt idx="0">
                  <c:v>Prototype (Unit)</c:v>
                </c:pt>
                <c:pt idx="1">
                  <c:v>Prototype (Total)</c:v>
                </c:pt>
              </c:strCache>
            </c:strRef>
          </c:cat>
          <c:val>
            <c:numRef>
              <c:f>Analysis!$C$5:$D$5</c:f>
              <c:numCache>
                <c:formatCode>0.00</c:formatCode>
                <c:ptCount val="2"/>
                <c:pt idx="0">
                  <c:v>47.408569999999997</c:v>
                </c:pt>
                <c:pt idx="1">
                  <c:v>86.090000000000018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6-EB4B-8637-1AF61FE2F50C}"/>
            </c:ext>
          </c:extLst>
        </c:ser>
        <c:ser>
          <c:idx val="1"/>
          <c:order val="1"/>
          <c:tx>
            <c:strRef>
              <c:f>Analysis!$B$6</c:f>
              <c:strCache>
                <c:ptCount val="1"/>
                <c:pt idx="0">
                  <c:v>Pressure Components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Analysis!$C$4:$D$4</c:f>
              <c:strCache>
                <c:ptCount val="2"/>
                <c:pt idx="0">
                  <c:v>Prototype (Unit)</c:v>
                </c:pt>
                <c:pt idx="1">
                  <c:v>Prototype (Total)</c:v>
                </c:pt>
              </c:strCache>
            </c:strRef>
          </c:cat>
          <c:val>
            <c:numRef>
              <c:f>Analysis!$C$6:$D$6</c:f>
              <c:numCache>
                <c:formatCode>0.00</c:formatCode>
                <c:ptCount val="2"/>
                <c:pt idx="0">
                  <c:v>92.15</c:v>
                </c:pt>
                <c:pt idx="1">
                  <c:v>92.15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6-EB4B-8637-1AF61FE2F50C}"/>
            </c:ext>
          </c:extLst>
        </c:ser>
        <c:ser>
          <c:idx val="6"/>
          <c:order val="2"/>
          <c:tx>
            <c:strRef>
              <c:f>Analysis!$B$7</c:f>
              <c:strCache>
                <c:ptCount val="1"/>
                <c:pt idx="0">
                  <c:v>Temperature Components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Analysis!$C$7:$D$7</c:f>
              <c:numCache>
                <c:formatCode>0.00</c:formatCode>
                <c:ptCount val="2"/>
                <c:pt idx="0">
                  <c:v>79.069999999999993</c:v>
                </c:pt>
                <c:pt idx="1">
                  <c:v>79.069999999999993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06-EB4B-8637-1AF61FE2F50C}"/>
            </c:ext>
          </c:extLst>
        </c:ser>
        <c:ser>
          <c:idx val="2"/>
          <c:order val="3"/>
          <c:tx>
            <c:strRef>
              <c:f>Analysis!$B$8</c:f>
              <c:strCache>
                <c:ptCount val="1"/>
                <c:pt idx="0">
                  <c:v>Construction Consumables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Analysis!$C$4:$D$4</c:f>
              <c:strCache>
                <c:ptCount val="2"/>
                <c:pt idx="0">
                  <c:v>Prototype (Unit)</c:v>
                </c:pt>
                <c:pt idx="1">
                  <c:v>Prototype (Total)</c:v>
                </c:pt>
              </c:strCache>
            </c:strRef>
          </c:cat>
          <c:val>
            <c:numRef>
              <c:f>Analysis!$C$8:$D$8</c:f>
              <c:numCache>
                <c:formatCode>0.00</c:formatCode>
                <c:ptCount val="2"/>
                <c:pt idx="0">
                  <c:v>11.482643333333334</c:v>
                </c:pt>
                <c:pt idx="1">
                  <c:v>67.430000000000007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6-EB4B-8637-1AF61FE2F50C}"/>
            </c:ext>
          </c:extLst>
        </c:ser>
        <c:ser>
          <c:idx val="3"/>
          <c:order val="4"/>
          <c:tx>
            <c:strRef>
              <c:f>Analysis!$B$9</c:f>
              <c:strCache>
                <c:ptCount val="1"/>
                <c:pt idx="0">
                  <c:v>Testing Consumables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Analysis!$C$4:$D$4</c:f>
              <c:strCache>
                <c:ptCount val="2"/>
                <c:pt idx="0">
                  <c:v>Prototype (Unit)</c:v>
                </c:pt>
                <c:pt idx="1">
                  <c:v>Prototype (Total)</c:v>
                </c:pt>
              </c:strCache>
            </c:strRef>
          </c:cat>
          <c:val>
            <c:numRef>
              <c:f>Analysis!$C$9:$D$9</c:f>
              <c:numCache>
                <c:formatCode>0.00</c:formatCode>
                <c:ptCount val="2"/>
                <c:pt idx="0">
                  <c:v>25.15</c:v>
                </c:pt>
                <c:pt idx="1">
                  <c:v>25.15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06-EB4B-8637-1AF61FE2F50C}"/>
            </c:ext>
          </c:extLst>
        </c:ser>
        <c:ser>
          <c:idx val="4"/>
          <c:order val="5"/>
          <c:tx>
            <c:strRef>
              <c:f>Analysis!$B$10</c:f>
              <c:strCache>
                <c:ptCount val="1"/>
                <c:pt idx="0">
                  <c:v>Construction Tools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Analysis!$C$4:$D$4</c:f>
              <c:strCache>
                <c:ptCount val="2"/>
                <c:pt idx="0">
                  <c:v>Prototype (Unit)</c:v>
                </c:pt>
                <c:pt idx="1">
                  <c:v>Prototype (Total)</c:v>
                </c:pt>
              </c:strCache>
            </c:strRef>
          </c:cat>
          <c:val>
            <c:numRef>
              <c:f>Analysis!$C$10:$D$10</c:f>
              <c:numCache>
                <c:formatCode>0.00</c:formatCode>
                <c:ptCount val="2"/>
                <c:pt idx="0">
                  <c:v>8.16</c:v>
                </c:pt>
                <c:pt idx="1">
                  <c:v>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06-EB4B-8637-1AF61FE2F50C}"/>
            </c:ext>
          </c:extLst>
        </c:ser>
        <c:ser>
          <c:idx val="5"/>
          <c:order val="6"/>
          <c:tx>
            <c:strRef>
              <c:f>Analysis!$B$11</c:f>
              <c:strCache>
                <c:ptCount val="1"/>
                <c:pt idx="0">
                  <c:v>Testing Tool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Analysis!$C$4:$D$4</c:f>
              <c:strCache>
                <c:ptCount val="2"/>
                <c:pt idx="0">
                  <c:v>Prototype (Unit)</c:v>
                </c:pt>
                <c:pt idx="1">
                  <c:v>Prototype (Total)</c:v>
                </c:pt>
              </c:strCache>
            </c:strRef>
          </c:cat>
          <c:val>
            <c:numRef>
              <c:f>Analysis!$C$11:$D$11</c:f>
              <c:numCache>
                <c:formatCode>0.00</c:formatCode>
                <c:ptCount val="2"/>
                <c:pt idx="0">
                  <c:v>5.96</c:v>
                </c:pt>
                <c:pt idx="1">
                  <c:v>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06-EB4B-8637-1AF61FE2F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4833679"/>
        <c:axId val="1434835391"/>
      </c:barChart>
      <c:catAx>
        <c:axId val="14348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5391"/>
        <c:crosses val="autoZero"/>
        <c:auto val="1"/>
        <c:lblAlgn val="ctr"/>
        <c:lblOffset val="100"/>
        <c:noMultiLvlLbl val="0"/>
      </c:catAx>
      <c:valAx>
        <c:axId val="143483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</a:t>
                </a:r>
                <a:r>
                  <a:rPr lang="en-GB" baseline="0"/>
                  <a:t> (euro)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Components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Analysis!$C$20:$K$20</c:f>
              <c:strCache>
                <c:ptCount val="9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  <c:pt idx="6">
                  <c:v>MDE IS-05 Wire Myograph (Unit)</c:v>
                </c:pt>
                <c:pt idx="7">
                  <c:v>LSI 2-Channel Self-Heated Wire Myograph Package (Unit)</c:v>
                </c:pt>
                <c:pt idx="8">
                  <c:v>DMT Pressure Myograph System - 112PP (Unit)</c:v>
                </c:pt>
              </c:strCache>
            </c:strRef>
          </c:cat>
          <c:val>
            <c:numRef>
              <c:f>Analysis!$C$21:$K$21</c:f>
              <c:numCache>
                <c:formatCode>0.00</c:formatCode>
                <c:ptCount val="9"/>
                <c:pt idx="0">
                  <c:v>218.62857</c:v>
                </c:pt>
                <c:pt idx="1">
                  <c:v>257.31</c:v>
                </c:pt>
                <c:pt idx="2">
                  <c:v>642.35</c:v>
                </c:pt>
                <c:pt idx="3">
                  <c:v>767.5</c:v>
                </c:pt>
                <c:pt idx="4">
                  <c:v>1676.27</c:v>
                </c:pt>
                <c:pt idx="5">
                  <c:v>4501.6400000000003</c:v>
                </c:pt>
                <c:pt idx="6">
                  <c:v>9560</c:v>
                </c:pt>
                <c:pt idx="7">
                  <c:v>17184.73</c:v>
                </c:pt>
                <c:pt idx="8">
                  <c:v>45850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C6-994B-9E5D-C4323AC66CE3}"/>
            </c:ext>
          </c:extLst>
        </c:ser>
        <c:ser>
          <c:idx val="1"/>
          <c:order val="1"/>
          <c:tx>
            <c:strRef>
              <c:f>Analysis!$B$22</c:f>
              <c:strCache>
                <c:ptCount val="1"/>
                <c:pt idx="0">
                  <c:v>Consumables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Analysis!$C$20:$K$20</c:f>
              <c:strCache>
                <c:ptCount val="9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  <c:pt idx="6">
                  <c:v>MDE IS-05 Wire Myograph (Unit)</c:v>
                </c:pt>
                <c:pt idx="7">
                  <c:v>LSI 2-Channel Self-Heated Wire Myograph Package (Unit)</c:v>
                </c:pt>
                <c:pt idx="8">
                  <c:v>DMT Pressure Myograph System - 112PP (Unit)</c:v>
                </c:pt>
              </c:strCache>
            </c:strRef>
          </c:cat>
          <c:val>
            <c:numRef>
              <c:f>Analysis!$C$22:$K$22</c:f>
              <c:numCache>
                <c:formatCode>0.00</c:formatCode>
                <c:ptCount val="9"/>
                <c:pt idx="0">
                  <c:v>36.632643333333334</c:v>
                </c:pt>
                <c:pt idx="1">
                  <c:v>92.580000000000013</c:v>
                </c:pt>
                <c:pt idx="2">
                  <c:v>2.64</c:v>
                </c:pt>
                <c:pt idx="3">
                  <c:v>65.88</c:v>
                </c:pt>
                <c:pt idx="4">
                  <c:v>0</c:v>
                </c:pt>
                <c:pt idx="5">
                  <c:v>163.93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C6-994B-9E5D-C4323AC66CE3}"/>
            </c:ext>
          </c:extLst>
        </c:ser>
        <c:ser>
          <c:idx val="2"/>
          <c:order val="2"/>
          <c:tx>
            <c:strRef>
              <c:f>Analysis!$B$23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Analysis!$C$20:$K$20</c:f>
              <c:strCache>
                <c:ptCount val="9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  <c:pt idx="6">
                  <c:v>MDE IS-05 Wire Myograph (Unit)</c:v>
                </c:pt>
                <c:pt idx="7">
                  <c:v>LSI 2-Channel Self-Heated Wire Myograph Package (Unit)</c:v>
                </c:pt>
                <c:pt idx="8">
                  <c:v>DMT Pressure Myograph System - 112PP (Unit)</c:v>
                </c:pt>
              </c:strCache>
            </c:strRef>
          </c:cat>
          <c:val>
            <c:numRef>
              <c:f>Analysis!$C$23:$K$23</c:f>
              <c:numCache>
                <c:formatCode>0.00</c:formatCode>
                <c:ptCount val="9"/>
                <c:pt idx="0">
                  <c:v>14.120000000000001</c:v>
                </c:pt>
                <c:pt idx="1">
                  <c:v>14.120000000000001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C6-994B-9E5D-C4323AC66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4833679"/>
        <c:axId val="1434835391"/>
      </c:barChart>
      <c:catAx>
        <c:axId val="14348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5391"/>
        <c:crosses val="autoZero"/>
        <c:auto val="1"/>
        <c:lblAlgn val="ctr"/>
        <c:lblOffset val="100"/>
        <c:noMultiLvlLbl val="0"/>
      </c:catAx>
      <c:valAx>
        <c:axId val="143483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Cost (euro)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Components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Analysis!$C$20:$H$20</c:f>
              <c:strCache>
                <c:ptCount val="6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</c:strCache>
            </c:strRef>
          </c:cat>
          <c:val>
            <c:numRef>
              <c:f>Analysis!$C$21:$H$21</c:f>
              <c:numCache>
                <c:formatCode>0.00</c:formatCode>
                <c:ptCount val="6"/>
                <c:pt idx="0">
                  <c:v>218.62857</c:v>
                </c:pt>
                <c:pt idx="1">
                  <c:v>257.31</c:v>
                </c:pt>
                <c:pt idx="2">
                  <c:v>642.35</c:v>
                </c:pt>
                <c:pt idx="3">
                  <c:v>767.5</c:v>
                </c:pt>
                <c:pt idx="4">
                  <c:v>1676.27</c:v>
                </c:pt>
                <c:pt idx="5">
                  <c:v>4501.6400000000003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5-524B-A1C8-82DEE0751F44}"/>
            </c:ext>
          </c:extLst>
        </c:ser>
        <c:ser>
          <c:idx val="1"/>
          <c:order val="1"/>
          <c:tx>
            <c:strRef>
              <c:f>Analysis!$B$22</c:f>
              <c:strCache>
                <c:ptCount val="1"/>
                <c:pt idx="0">
                  <c:v>Consumables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Analysis!$C$20:$H$20</c:f>
              <c:strCache>
                <c:ptCount val="6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</c:strCache>
            </c:strRef>
          </c:cat>
          <c:val>
            <c:numRef>
              <c:f>Analysis!$C$22:$H$22</c:f>
              <c:numCache>
                <c:formatCode>0.00</c:formatCode>
                <c:ptCount val="6"/>
                <c:pt idx="0">
                  <c:v>36.632643333333334</c:v>
                </c:pt>
                <c:pt idx="1">
                  <c:v>92.580000000000013</c:v>
                </c:pt>
                <c:pt idx="2">
                  <c:v>2.64</c:v>
                </c:pt>
                <c:pt idx="3">
                  <c:v>65.88</c:v>
                </c:pt>
                <c:pt idx="4">
                  <c:v>0</c:v>
                </c:pt>
                <c:pt idx="5">
                  <c:v>163.93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5-524B-A1C8-82DEE0751F44}"/>
            </c:ext>
          </c:extLst>
        </c:ser>
        <c:ser>
          <c:idx val="2"/>
          <c:order val="2"/>
          <c:tx>
            <c:strRef>
              <c:f>Analysis!$B$23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Analysis!$C$20:$H$20</c:f>
              <c:strCache>
                <c:ptCount val="6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</c:strCache>
            </c:strRef>
          </c:cat>
          <c:val>
            <c:numRef>
              <c:f>Analysis!$C$23:$H$23</c:f>
              <c:numCache>
                <c:formatCode>0.00</c:formatCode>
                <c:ptCount val="6"/>
                <c:pt idx="0">
                  <c:v>14.120000000000001</c:v>
                </c:pt>
                <c:pt idx="1">
                  <c:v>14.120000000000001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65-524B-A1C8-82DEE0751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4833679"/>
        <c:axId val="1434835391"/>
      </c:barChart>
      <c:catAx>
        <c:axId val="14348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5391"/>
        <c:crosses val="autoZero"/>
        <c:auto val="1"/>
        <c:lblAlgn val="ctr"/>
        <c:lblOffset val="100"/>
        <c:noMultiLvlLbl val="0"/>
      </c:catAx>
      <c:valAx>
        <c:axId val="143483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Cost (euro)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Components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Analysis!$C$20:$K$20</c:f>
              <c:strCache>
                <c:ptCount val="9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  <c:pt idx="6">
                  <c:v>MDE IS-05 Wire Myograph (Unit)</c:v>
                </c:pt>
                <c:pt idx="7">
                  <c:v>LSI 2-Channel Self-Heated Wire Myograph Package (Unit)</c:v>
                </c:pt>
                <c:pt idx="8">
                  <c:v>DMT Pressure Myograph System - 112PP (Unit)</c:v>
                </c:pt>
              </c:strCache>
            </c:strRef>
          </c:cat>
          <c:val>
            <c:numRef>
              <c:f>Analysis!$C$21:$K$21</c:f>
              <c:numCache>
                <c:formatCode>0.00</c:formatCode>
                <c:ptCount val="9"/>
                <c:pt idx="0">
                  <c:v>218.62857</c:v>
                </c:pt>
                <c:pt idx="1">
                  <c:v>257.31</c:v>
                </c:pt>
                <c:pt idx="2">
                  <c:v>642.35</c:v>
                </c:pt>
                <c:pt idx="3">
                  <c:v>767.5</c:v>
                </c:pt>
                <c:pt idx="4">
                  <c:v>1676.27</c:v>
                </c:pt>
                <c:pt idx="5">
                  <c:v>4501.6400000000003</c:v>
                </c:pt>
                <c:pt idx="6">
                  <c:v>9560</c:v>
                </c:pt>
                <c:pt idx="7">
                  <c:v>17184.73</c:v>
                </c:pt>
                <c:pt idx="8">
                  <c:v>45850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F-3F44-B947-9EE945F76341}"/>
            </c:ext>
          </c:extLst>
        </c:ser>
        <c:ser>
          <c:idx val="1"/>
          <c:order val="1"/>
          <c:tx>
            <c:strRef>
              <c:f>Analysis!$B$22</c:f>
              <c:strCache>
                <c:ptCount val="1"/>
                <c:pt idx="0">
                  <c:v>Consumables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Analysis!$C$20:$K$20</c:f>
              <c:strCache>
                <c:ptCount val="9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  <c:pt idx="6">
                  <c:v>MDE IS-05 Wire Myograph (Unit)</c:v>
                </c:pt>
                <c:pt idx="7">
                  <c:v>LSI 2-Channel Self-Heated Wire Myograph Package (Unit)</c:v>
                </c:pt>
                <c:pt idx="8">
                  <c:v>DMT Pressure Myograph System - 112PP (Unit)</c:v>
                </c:pt>
              </c:strCache>
            </c:strRef>
          </c:cat>
          <c:val>
            <c:numRef>
              <c:f>Analysis!$C$22:$K$22</c:f>
              <c:numCache>
                <c:formatCode>0.00</c:formatCode>
                <c:ptCount val="9"/>
                <c:pt idx="0">
                  <c:v>36.632643333333334</c:v>
                </c:pt>
                <c:pt idx="1">
                  <c:v>92.580000000000013</c:v>
                </c:pt>
                <c:pt idx="2">
                  <c:v>2.64</c:v>
                </c:pt>
                <c:pt idx="3">
                  <c:v>65.88</c:v>
                </c:pt>
                <c:pt idx="4">
                  <c:v>0</c:v>
                </c:pt>
                <c:pt idx="5">
                  <c:v>163.93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F-3F44-B947-9EE945F76341}"/>
            </c:ext>
          </c:extLst>
        </c:ser>
        <c:ser>
          <c:idx val="2"/>
          <c:order val="2"/>
          <c:tx>
            <c:strRef>
              <c:f>Analysis!$B$23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Analysis!$C$20:$K$20</c:f>
              <c:strCache>
                <c:ptCount val="9"/>
                <c:pt idx="0">
                  <c:v>Prototype (Unit)</c:v>
                </c:pt>
                <c:pt idx="1">
                  <c:v>Prototype (Total)</c:v>
                </c:pt>
                <c:pt idx="2">
                  <c:v>HemoLens (Unit)</c:v>
                </c:pt>
                <c:pt idx="3">
                  <c:v>HemoLens (Total)</c:v>
                </c:pt>
                <c:pt idx="4">
                  <c:v>VasoTracker 1 (Unit)</c:v>
                </c:pt>
                <c:pt idx="5">
                  <c:v>VasoTracker 2 (Unit)</c:v>
                </c:pt>
                <c:pt idx="6">
                  <c:v>MDE IS-05 Wire Myograph (Unit)</c:v>
                </c:pt>
                <c:pt idx="7">
                  <c:v>LSI 2-Channel Self-Heated Wire Myograph Package (Unit)</c:v>
                </c:pt>
                <c:pt idx="8">
                  <c:v>DMT Pressure Myograph System - 112PP (Unit)</c:v>
                </c:pt>
              </c:strCache>
            </c:strRef>
          </c:cat>
          <c:val>
            <c:numRef>
              <c:f>Analysis!$C$23:$K$23</c:f>
              <c:numCache>
                <c:formatCode>0.00</c:formatCode>
                <c:ptCount val="9"/>
                <c:pt idx="0">
                  <c:v>14.120000000000001</c:v>
                </c:pt>
                <c:pt idx="1">
                  <c:v>14.120000000000001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F-3F44-B947-9EE945F76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4833679"/>
        <c:axId val="1434835391"/>
      </c:barChart>
      <c:catAx>
        <c:axId val="14348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5391"/>
        <c:crosses val="autoZero"/>
        <c:auto val="1"/>
        <c:lblAlgn val="ctr"/>
        <c:lblOffset val="100"/>
        <c:noMultiLvlLbl val="0"/>
      </c:catAx>
      <c:valAx>
        <c:axId val="143483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3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190500</xdr:rowOff>
    </xdr:from>
    <xdr:to>
      <xdr:col>11</xdr:col>
      <xdr:colOff>463550</xdr:colOff>
      <xdr:row>17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58334B-48DD-C522-E7DD-73AC1F411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812800</xdr:colOff>
      <xdr:row>26</xdr:row>
      <xdr:rowOff>177800</xdr:rowOff>
    </xdr:from>
    <xdr:to>
      <xdr:col>4</xdr:col>
      <xdr:colOff>584200</xdr:colOff>
      <xdr:row>40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A9BF1D-6ABD-5F4B-BAC0-3F15E7AD6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11</xdr:col>
      <xdr:colOff>452120</xdr:colOff>
      <xdr:row>40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B090AA-6200-ED4E-A621-A3D259C7D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4</xdr:col>
      <xdr:colOff>596900</xdr:colOff>
      <xdr:row>55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9B9648-E4B0-8847-9D5C-837744535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.rs-online.com/web/p/dispensing-tips/4003902" TargetMode="External"/><Relationship Id="rId2" Type="http://schemas.openxmlformats.org/officeDocument/2006/relationships/hyperlink" Target="https://www.mcmaster.com/90591A250/" TargetMode="External"/><Relationship Id="rId1" Type="http://schemas.openxmlformats.org/officeDocument/2006/relationships/hyperlink" Target="https://www.lights.ie/p/osram-led-rechargeable-furniture-light-dot-it-1-8-cm-white-touch-dimmer-1004429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DBFD-29B1-CF4B-AC58-C13F5DE7D38F}">
  <dimension ref="B1:P57"/>
  <sheetViews>
    <sheetView tabSelected="1" zoomScale="85" zoomScaleNormal="106" workbookViewId="0">
      <selection activeCell="I16" sqref="I16"/>
    </sheetView>
  </sheetViews>
  <sheetFormatPr baseColWidth="10" defaultColWidth="11.1640625" defaultRowHeight="16"/>
  <cols>
    <col min="1" max="1" width="11.1640625" style="1"/>
    <col min="2" max="2" width="20.6640625" style="1" bestFit="1" customWidth="1"/>
    <col min="3" max="3" width="37.33203125" style="1" bestFit="1" customWidth="1"/>
    <col min="4" max="4" width="14" style="1" bestFit="1" customWidth="1"/>
    <col min="5" max="5" width="47.1640625" style="1" customWidth="1"/>
    <col min="6" max="6" width="19" style="1" bestFit="1" customWidth="1"/>
    <col min="7" max="7" width="10.5" style="1" customWidth="1"/>
    <col min="8" max="8" width="6.83203125" style="1" bestFit="1" customWidth="1"/>
    <col min="9" max="9" width="6" style="1" bestFit="1" customWidth="1"/>
    <col min="10" max="10" width="16.1640625" style="1" bestFit="1" customWidth="1"/>
    <col min="11" max="11" width="15.33203125" style="1" bestFit="1" customWidth="1"/>
    <col min="12" max="13" width="11.1640625" style="1"/>
    <col min="14" max="14" width="24.83203125" style="1" bestFit="1" customWidth="1"/>
    <col min="15" max="15" width="12.33203125" style="1" bestFit="1" customWidth="1"/>
    <col min="16" max="16" width="15.5" style="1" bestFit="1" customWidth="1"/>
    <col min="17" max="16384" width="11.1640625" style="1"/>
  </cols>
  <sheetData>
    <row r="1" spans="2:16" ht="17" thickBot="1"/>
    <row r="2" spans="2:16">
      <c r="B2" s="76" t="s">
        <v>43</v>
      </c>
      <c r="C2" s="9" t="s">
        <v>7</v>
      </c>
    </row>
    <row r="3" spans="2:16">
      <c r="B3" s="10" t="s">
        <v>44</v>
      </c>
      <c r="C3" s="11">
        <v>1</v>
      </c>
    </row>
    <row r="4" spans="2:16">
      <c r="B4" s="10" t="s">
        <v>45</v>
      </c>
      <c r="C4" s="79">
        <v>46122</v>
      </c>
    </row>
    <row r="5" spans="2:16">
      <c r="B5" s="10" t="s">
        <v>46</v>
      </c>
      <c r="C5" s="79">
        <v>46091</v>
      </c>
    </row>
    <row r="6" spans="2:16">
      <c r="B6" s="10" t="s">
        <v>47</v>
      </c>
      <c r="C6" s="123">
        <f>SUM(K15:K49)</f>
        <v>364.0100000000001</v>
      </c>
      <c r="E6" s="153" t="s">
        <v>208</v>
      </c>
    </row>
    <row r="7" spans="2:16" ht="17" thickBot="1">
      <c r="B7" s="12" t="s">
        <v>48</v>
      </c>
      <c r="C7" s="124">
        <f>SUM(J15:J49)</f>
        <v>269.38121333333333</v>
      </c>
      <c r="E7" s="153" t="s">
        <v>208</v>
      </c>
    </row>
    <row r="12" spans="2:16" ht="17" thickBot="1"/>
    <row r="13" spans="2:16" ht="17" thickBot="1">
      <c r="B13" s="15" t="s">
        <v>32</v>
      </c>
      <c r="C13" s="16" t="s">
        <v>35</v>
      </c>
      <c r="D13" s="16" t="s">
        <v>37</v>
      </c>
      <c r="E13" s="16" t="s">
        <v>36</v>
      </c>
      <c r="F13" s="16" t="s">
        <v>114</v>
      </c>
      <c r="G13" s="16" t="s">
        <v>9</v>
      </c>
      <c r="H13" s="16" t="s">
        <v>33</v>
      </c>
      <c r="I13" s="16" t="s">
        <v>34</v>
      </c>
      <c r="J13" s="16" t="s">
        <v>178</v>
      </c>
      <c r="K13" s="17" t="s">
        <v>179</v>
      </c>
      <c r="M13" s="14" t="s">
        <v>186</v>
      </c>
      <c r="N13" s="78" t="s">
        <v>187</v>
      </c>
      <c r="O13" s="16" t="s">
        <v>178</v>
      </c>
      <c r="P13" s="17" t="s">
        <v>179</v>
      </c>
    </row>
    <row r="14" spans="2:16" ht="17" thickBot="1">
      <c r="B14" s="59" t="s">
        <v>28</v>
      </c>
      <c r="C14" s="60"/>
      <c r="D14" s="60"/>
      <c r="E14" s="60"/>
      <c r="F14" s="60"/>
      <c r="G14" s="60"/>
      <c r="H14" s="60"/>
      <c r="I14" s="60"/>
      <c r="J14" s="60"/>
      <c r="K14" s="61"/>
      <c r="M14" s="74" t="s">
        <v>28</v>
      </c>
      <c r="N14" s="75"/>
      <c r="O14" s="145">
        <f>O15+O24+O31</f>
        <v>218.62857</v>
      </c>
      <c r="P14" s="146">
        <f>P15+P24+P31</f>
        <v>257.31</v>
      </c>
    </row>
    <row r="15" spans="2:16">
      <c r="B15" s="18">
        <v>1</v>
      </c>
      <c r="C15" s="19" t="s">
        <v>18</v>
      </c>
      <c r="D15" s="19" t="s">
        <v>61</v>
      </c>
      <c r="E15" s="19" t="s">
        <v>62</v>
      </c>
      <c r="F15" s="19" t="s">
        <v>63</v>
      </c>
      <c r="G15" s="20" t="s">
        <v>60</v>
      </c>
      <c r="H15" s="19">
        <v>1</v>
      </c>
      <c r="I15" s="19">
        <v>0.64</v>
      </c>
      <c r="J15" s="125">
        <f>(K15/H15)*I15</f>
        <v>21.113600000000002</v>
      </c>
      <c r="K15" s="126">
        <v>32.99</v>
      </c>
      <c r="M15" s="21"/>
      <c r="N15" s="8" t="s">
        <v>181</v>
      </c>
      <c r="O15" s="147">
        <f>SUM(J15:J23)</f>
        <v>47.408569999999997</v>
      </c>
      <c r="P15" s="123">
        <f>SUM(K15:K23)</f>
        <v>86.090000000000018</v>
      </c>
    </row>
    <row r="16" spans="2:16">
      <c r="B16" s="21">
        <v>2</v>
      </c>
      <c r="C16" s="22" t="s">
        <v>0</v>
      </c>
      <c r="D16" s="22" t="s">
        <v>80</v>
      </c>
      <c r="E16" s="22" t="s">
        <v>64</v>
      </c>
      <c r="F16" s="22" t="s">
        <v>65</v>
      </c>
      <c r="G16" s="23" t="s">
        <v>14</v>
      </c>
      <c r="H16" s="22">
        <v>4</v>
      </c>
      <c r="I16" s="22">
        <v>4</v>
      </c>
      <c r="J16" s="127">
        <f t="shared" ref="J16:J45" si="0">(K16/H16)*I16</f>
        <v>2.4900000000000002</v>
      </c>
      <c r="K16" s="128">
        <v>2.4900000000000002</v>
      </c>
      <c r="M16" s="2"/>
      <c r="N16" s="3"/>
      <c r="O16" s="148"/>
      <c r="P16" s="149"/>
    </row>
    <row r="17" spans="2:16">
      <c r="B17" s="21">
        <v>3</v>
      </c>
      <c r="C17" s="22" t="s">
        <v>1</v>
      </c>
      <c r="D17" s="22" t="s">
        <v>81</v>
      </c>
      <c r="E17" s="22" t="s">
        <v>17</v>
      </c>
      <c r="F17" s="22">
        <v>10044291</v>
      </c>
      <c r="G17" s="24" t="s">
        <v>16</v>
      </c>
      <c r="H17" s="22">
        <v>1</v>
      </c>
      <c r="I17" s="22">
        <v>1</v>
      </c>
      <c r="J17" s="127">
        <f t="shared" si="0"/>
        <v>9.9</v>
      </c>
      <c r="K17" s="128">
        <v>9.9</v>
      </c>
      <c r="M17" s="2"/>
      <c r="N17" s="3"/>
      <c r="O17" s="148"/>
      <c r="P17" s="149"/>
    </row>
    <row r="18" spans="2:16">
      <c r="B18" s="18">
        <v>4</v>
      </c>
      <c r="C18" s="22" t="s">
        <v>26</v>
      </c>
      <c r="D18" s="22" t="s">
        <v>21</v>
      </c>
      <c r="E18" s="22" t="s">
        <v>19</v>
      </c>
      <c r="F18" s="22" t="s">
        <v>66</v>
      </c>
      <c r="G18" s="23" t="s">
        <v>20</v>
      </c>
      <c r="H18" s="22">
        <v>100</v>
      </c>
      <c r="I18" s="22">
        <v>27</v>
      </c>
      <c r="J18" s="127">
        <f t="shared" si="0"/>
        <v>3.66201</v>
      </c>
      <c r="K18" s="128">
        <v>13.563000000000001</v>
      </c>
      <c r="M18" s="2"/>
      <c r="N18" s="3"/>
      <c r="O18" s="148"/>
      <c r="P18" s="149"/>
    </row>
    <row r="19" spans="2:16">
      <c r="B19" s="21">
        <v>5</v>
      </c>
      <c r="C19" s="22" t="s">
        <v>2</v>
      </c>
      <c r="D19" s="22" t="s">
        <v>21</v>
      </c>
      <c r="E19" s="22" t="s">
        <v>67</v>
      </c>
      <c r="F19" s="22" t="s">
        <v>68</v>
      </c>
      <c r="G19" s="23" t="s">
        <v>69</v>
      </c>
      <c r="H19" s="22">
        <v>50</v>
      </c>
      <c r="I19" s="22">
        <v>24</v>
      </c>
      <c r="J19" s="127">
        <f t="shared" si="0"/>
        <v>4.0761600000000007</v>
      </c>
      <c r="K19" s="128">
        <v>8.4920000000000009</v>
      </c>
      <c r="M19" s="2"/>
      <c r="N19" s="3"/>
      <c r="O19" s="148"/>
      <c r="P19" s="149"/>
    </row>
    <row r="20" spans="2:16">
      <c r="B20" s="21">
        <v>6</v>
      </c>
      <c r="C20" s="22" t="s">
        <v>193</v>
      </c>
      <c r="D20" s="22" t="s">
        <v>21</v>
      </c>
      <c r="E20" s="22" t="s">
        <v>70</v>
      </c>
      <c r="F20" s="22" t="s">
        <v>71</v>
      </c>
      <c r="G20" s="24" t="s">
        <v>72</v>
      </c>
      <c r="H20" s="22">
        <v>100</v>
      </c>
      <c r="I20" s="22">
        <v>52</v>
      </c>
      <c r="J20" s="127">
        <f t="shared" si="0"/>
        <v>1.5158</v>
      </c>
      <c r="K20" s="128">
        <v>2.915</v>
      </c>
      <c r="M20" s="2"/>
      <c r="N20" s="3"/>
      <c r="O20" s="148"/>
      <c r="P20" s="149"/>
    </row>
    <row r="21" spans="2:16">
      <c r="B21" s="18">
        <v>7</v>
      </c>
      <c r="C21" s="22" t="s">
        <v>192</v>
      </c>
      <c r="D21" s="22" t="s">
        <v>21</v>
      </c>
      <c r="E21" s="22" t="s">
        <v>194</v>
      </c>
      <c r="F21" s="22" t="s">
        <v>195</v>
      </c>
      <c r="G21" s="24" t="s">
        <v>196</v>
      </c>
      <c r="H21" s="22">
        <v>100</v>
      </c>
      <c r="I21" s="22">
        <v>6</v>
      </c>
      <c r="J21" s="127">
        <f t="shared" si="0"/>
        <v>0.2238</v>
      </c>
      <c r="K21" s="128">
        <v>3.73</v>
      </c>
      <c r="M21" s="2"/>
      <c r="N21" s="3"/>
      <c r="O21" s="148"/>
      <c r="P21" s="149"/>
    </row>
    <row r="22" spans="2:16">
      <c r="B22" s="21">
        <v>8</v>
      </c>
      <c r="C22" s="22" t="s">
        <v>5</v>
      </c>
      <c r="D22" s="22" t="s">
        <v>79</v>
      </c>
      <c r="E22" s="22" t="s">
        <v>77</v>
      </c>
      <c r="F22" s="22" t="s">
        <v>78</v>
      </c>
      <c r="G22" s="23" t="s">
        <v>15</v>
      </c>
      <c r="H22" s="22">
        <v>1</v>
      </c>
      <c r="I22" s="22">
        <v>1</v>
      </c>
      <c r="J22" s="127">
        <f t="shared" si="0"/>
        <v>4</v>
      </c>
      <c r="K22" s="128">
        <v>4</v>
      </c>
      <c r="M22" s="2"/>
      <c r="N22" s="3"/>
      <c r="O22" s="148"/>
      <c r="P22" s="149"/>
    </row>
    <row r="23" spans="2:16">
      <c r="B23" s="21">
        <v>9</v>
      </c>
      <c r="C23" s="22" t="s">
        <v>73</v>
      </c>
      <c r="D23" s="22" t="s">
        <v>11</v>
      </c>
      <c r="E23" s="22" t="s">
        <v>74</v>
      </c>
      <c r="F23" s="22" t="s">
        <v>75</v>
      </c>
      <c r="G23" s="23" t="s">
        <v>76</v>
      </c>
      <c r="H23" s="22">
        <v>150</v>
      </c>
      <c r="I23" s="22">
        <v>8</v>
      </c>
      <c r="J23" s="127">
        <f t="shared" si="0"/>
        <v>0.42719999999999997</v>
      </c>
      <c r="K23" s="128">
        <v>8.01</v>
      </c>
      <c r="M23" s="2"/>
      <c r="N23" s="3"/>
      <c r="O23" s="148"/>
      <c r="P23" s="149"/>
    </row>
    <row r="24" spans="2:16">
      <c r="B24" s="48">
        <v>10</v>
      </c>
      <c r="C24" s="49" t="s">
        <v>52</v>
      </c>
      <c r="D24" s="49" t="s">
        <v>59</v>
      </c>
      <c r="E24" s="49" t="s">
        <v>82</v>
      </c>
      <c r="F24" s="49" t="s">
        <v>83</v>
      </c>
      <c r="G24" s="50" t="s">
        <v>84</v>
      </c>
      <c r="H24" s="49">
        <v>1</v>
      </c>
      <c r="I24" s="49">
        <v>1</v>
      </c>
      <c r="J24" s="129">
        <f t="shared" si="0"/>
        <v>28.85</v>
      </c>
      <c r="K24" s="130">
        <v>28.85</v>
      </c>
      <c r="M24" s="48"/>
      <c r="N24" s="8" t="s">
        <v>182</v>
      </c>
      <c r="O24" s="147">
        <f>SUM(J24:J30)</f>
        <v>92.15</v>
      </c>
      <c r="P24" s="123">
        <f>SUM(K24:K30)</f>
        <v>92.15</v>
      </c>
    </row>
    <row r="25" spans="2:16">
      <c r="B25" s="48">
        <v>11</v>
      </c>
      <c r="C25" s="49" t="s">
        <v>50</v>
      </c>
      <c r="D25" s="49" t="s">
        <v>85</v>
      </c>
      <c r="E25" s="49" t="s">
        <v>87</v>
      </c>
      <c r="F25" s="49" t="s">
        <v>86</v>
      </c>
      <c r="G25" s="50" t="s">
        <v>88</v>
      </c>
      <c r="H25" s="49">
        <v>1</v>
      </c>
      <c r="I25" s="49">
        <v>1</v>
      </c>
      <c r="J25" s="129">
        <f t="shared" si="0"/>
        <v>3.49</v>
      </c>
      <c r="K25" s="130">
        <v>3.49</v>
      </c>
      <c r="M25" s="2"/>
      <c r="N25" s="3"/>
      <c r="O25" s="148"/>
      <c r="P25" s="149"/>
    </row>
    <row r="26" spans="2:16">
      <c r="B26" s="48">
        <v>12</v>
      </c>
      <c r="C26" s="49" t="s">
        <v>51</v>
      </c>
      <c r="D26" s="49" t="s">
        <v>92</v>
      </c>
      <c r="E26" s="49" t="s">
        <v>91</v>
      </c>
      <c r="F26" s="51" t="s">
        <v>90</v>
      </c>
      <c r="G26" s="50" t="s">
        <v>89</v>
      </c>
      <c r="H26" s="49">
        <v>2</v>
      </c>
      <c r="I26" s="49">
        <v>2</v>
      </c>
      <c r="J26" s="129">
        <f t="shared" si="0"/>
        <v>23.72</v>
      </c>
      <c r="K26" s="130">
        <v>23.72</v>
      </c>
      <c r="M26" s="2"/>
      <c r="N26" s="3"/>
      <c r="O26" s="148"/>
      <c r="P26" s="149"/>
    </row>
    <row r="27" spans="2:16">
      <c r="B27" s="48">
        <v>13</v>
      </c>
      <c r="C27" s="49" t="s">
        <v>55</v>
      </c>
      <c r="D27" s="49" t="s">
        <v>94</v>
      </c>
      <c r="E27" s="52" t="s">
        <v>93</v>
      </c>
      <c r="F27" s="53" t="s">
        <v>95</v>
      </c>
      <c r="G27" s="50" t="s">
        <v>96</v>
      </c>
      <c r="H27" s="49">
        <v>1</v>
      </c>
      <c r="I27" s="49">
        <v>1</v>
      </c>
      <c r="J27" s="129">
        <f t="shared" si="0"/>
        <v>7.4</v>
      </c>
      <c r="K27" s="130">
        <v>7.4</v>
      </c>
      <c r="M27" s="2"/>
      <c r="N27" s="3"/>
      <c r="O27" s="148"/>
      <c r="P27" s="149"/>
    </row>
    <row r="28" spans="2:16">
      <c r="B28" s="48">
        <v>14</v>
      </c>
      <c r="C28" s="49" t="s">
        <v>53</v>
      </c>
      <c r="D28" s="49" t="s">
        <v>92</v>
      </c>
      <c r="E28" s="49" t="s">
        <v>97</v>
      </c>
      <c r="F28" s="51" t="s">
        <v>98</v>
      </c>
      <c r="G28" s="50" t="s">
        <v>99</v>
      </c>
      <c r="H28" s="49">
        <v>1</v>
      </c>
      <c r="I28" s="49">
        <v>1</v>
      </c>
      <c r="J28" s="129">
        <f t="shared" si="0"/>
        <v>2.02</v>
      </c>
      <c r="K28" s="130">
        <v>2.02</v>
      </c>
      <c r="M28" s="2"/>
      <c r="N28" s="3"/>
      <c r="O28" s="148"/>
      <c r="P28" s="149"/>
    </row>
    <row r="29" spans="2:16">
      <c r="B29" s="48">
        <v>15</v>
      </c>
      <c r="C29" s="49" t="s">
        <v>100</v>
      </c>
      <c r="D29" s="49" t="s">
        <v>101</v>
      </c>
      <c r="E29" s="49" t="s">
        <v>102</v>
      </c>
      <c r="F29" s="54" t="s">
        <v>103</v>
      </c>
      <c r="G29" s="50" t="s">
        <v>25</v>
      </c>
      <c r="H29" s="49">
        <v>1</v>
      </c>
      <c r="I29" s="49">
        <v>1</v>
      </c>
      <c r="J29" s="129">
        <f t="shared" si="0"/>
        <v>23.73</v>
      </c>
      <c r="K29" s="130">
        <v>23.73</v>
      </c>
      <c r="M29" s="2"/>
      <c r="N29" s="3"/>
      <c r="O29" s="148"/>
      <c r="P29" s="149"/>
    </row>
    <row r="30" spans="2:16">
      <c r="B30" s="55">
        <v>16</v>
      </c>
      <c r="C30" s="56" t="s">
        <v>54</v>
      </c>
      <c r="D30" s="56" t="s">
        <v>106</v>
      </c>
      <c r="E30" s="56" t="s">
        <v>105</v>
      </c>
      <c r="F30" s="57" t="s">
        <v>104</v>
      </c>
      <c r="G30" s="58" t="s">
        <v>107</v>
      </c>
      <c r="H30" s="56">
        <v>1</v>
      </c>
      <c r="I30" s="56">
        <v>1</v>
      </c>
      <c r="J30" s="131">
        <f t="shared" ref="J30:J33" si="1">(K30/H30)*I30</f>
        <v>2.94</v>
      </c>
      <c r="K30" s="132">
        <v>2.94</v>
      </c>
      <c r="M30" s="2"/>
      <c r="N30" s="3"/>
      <c r="O30" s="148"/>
      <c r="P30" s="149"/>
    </row>
    <row r="31" spans="2:16">
      <c r="B31" s="88">
        <v>35</v>
      </c>
      <c r="C31" s="89" t="s">
        <v>58</v>
      </c>
      <c r="D31" s="89" t="s">
        <v>158</v>
      </c>
      <c r="E31" s="89" t="s">
        <v>159</v>
      </c>
      <c r="F31" s="89">
        <v>990189</v>
      </c>
      <c r="G31" s="90" t="s">
        <v>160</v>
      </c>
      <c r="H31" s="89">
        <v>1</v>
      </c>
      <c r="I31" s="89">
        <v>1</v>
      </c>
      <c r="J31" s="133">
        <f t="shared" si="1"/>
        <v>21.99</v>
      </c>
      <c r="K31" s="134">
        <v>21.99</v>
      </c>
      <c r="M31" s="88"/>
      <c r="N31" s="8" t="s">
        <v>207</v>
      </c>
      <c r="O31" s="147">
        <f>SUM(J31:J33)</f>
        <v>79.069999999999993</v>
      </c>
      <c r="P31" s="123">
        <f>SUM(K31:K33)</f>
        <v>79.069999999999993</v>
      </c>
    </row>
    <row r="32" spans="2:16">
      <c r="B32" s="88">
        <v>34</v>
      </c>
      <c r="C32" s="89" t="s">
        <v>41</v>
      </c>
      <c r="D32" s="89" t="s">
        <v>152</v>
      </c>
      <c r="E32" s="89" t="s">
        <v>151</v>
      </c>
      <c r="F32" s="94" t="s">
        <v>153</v>
      </c>
      <c r="G32" s="90" t="s">
        <v>154</v>
      </c>
      <c r="H32" s="89">
        <v>1</v>
      </c>
      <c r="I32" s="89">
        <v>1</v>
      </c>
      <c r="J32" s="133">
        <f t="shared" si="1"/>
        <v>52.09</v>
      </c>
      <c r="K32" s="134">
        <v>52.09</v>
      </c>
      <c r="M32" s="2"/>
      <c r="N32" s="3"/>
      <c r="O32" s="148"/>
      <c r="P32" s="149"/>
    </row>
    <row r="33" spans="2:16" ht="17" thickBot="1">
      <c r="B33" s="91">
        <v>36</v>
      </c>
      <c r="C33" s="92" t="s">
        <v>174</v>
      </c>
      <c r="D33" s="92" t="s">
        <v>176</v>
      </c>
      <c r="E33" s="92" t="s">
        <v>175</v>
      </c>
      <c r="F33" s="92">
        <v>80189</v>
      </c>
      <c r="G33" s="93" t="s">
        <v>177</v>
      </c>
      <c r="H33" s="92">
        <v>1</v>
      </c>
      <c r="I33" s="92">
        <v>1</v>
      </c>
      <c r="J33" s="135">
        <f t="shared" si="1"/>
        <v>4.99</v>
      </c>
      <c r="K33" s="136">
        <v>4.99</v>
      </c>
      <c r="M33" s="5"/>
      <c r="N33" s="6"/>
      <c r="O33" s="150"/>
      <c r="P33" s="151"/>
    </row>
    <row r="34" spans="2:16" ht="17" thickBot="1">
      <c r="B34" s="59" t="s">
        <v>56</v>
      </c>
      <c r="C34" s="60"/>
      <c r="D34" s="60"/>
      <c r="E34" s="60"/>
      <c r="F34" s="60"/>
      <c r="G34" s="60"/>
      <c r="H34" s="60"/>
      <c r="I34" s="60"/>
      <c r="J34" s="60"/>
      <c r="K34" s="61"/>
      <c r="M34" s="74" t="s">
        <v>56</v>
      </c>
      <c r="N34" s="75"/>
      <c r="O34" s="145">
        <f>O35+O40</f>
        <v>36.632643333333334</v>
      </c>
      <c r="P34" s="146">
        <f>P35+P40</f>
        <v>92.580000000000013</v>
      </c>
    </row>
    <row r="35" spans="2:16">
      <c r="B35" s="25">
        <v>17</v>
      </c>
      <c r="C35" s="26" t="s">
        <v>49</v>
      </c>
      <c r="D35" s="26" t="s">
        <v>109</v>
      </c>
      <c r="E35" s="26" t="s">
        <v>12</v>
      </c>
      <c r="F35" s="26" t="s">
        <v>108</v>
      </c>
      <c r="G35" s="27" t="s">
        <v>10</v>
      </c>
      <c r="H35" s="26">
        <v>50</v>
      </c>
      <c r="I35" s="26">
        <v>2</v>
      </c>
      <c r="J35" s="137">
        <f t="shared" si="0"/>
        <v>1.7884</v>
      </c>
      <c r="K35" s="138">
        <v>44.71</v>
      </c>
      <c r="M35" s="28"/>
      <c r="N35" s="8" t="s">
        <v>183</v>
      </c>
      <c r="O35" s="147">
        <f>SUM(J35:J39)</f>
        <v>11.482643333333334</v>
      </c>
      <c r="P35" s="123">
        <f>SUM(K35:K39)</f>
        <v>67.430000000000007</v>
      </c>
    </row>
    <row r="36" spans="2:16">
      <c r="B36" s="28">
        <v>18</v>
      </c>
      <c r="C36" s="29" t="s">
        <v>169</v>
      </c>
      <c r="D36" s="29" t="s">
        <v>171</v>
      </c>
      <c r="E36" s="29" t="s">
        <v>170</v>
      </c>
      <c r="F36" s="29" t="s">
        <v>172</v>
      </c>
      <c r="G36" s="30" t="s">
        <v>173</v>
      </c>
      <c r="H36" s="29">
        <v>30</v>
      </c>
      <c r="I36" s="29">
        <v>2</v>
      </c>
      <c r="J36" s="139">
        <f t="shared" si="0"/>
        <v>0.37533333333333335</v>
      </c>
      <c r="K36" s="140">
        <v>5.63</v>
      </c>
      <c r="M36" s="2"/>
      <c r="N36" s="3"/>
      <c r="O36" s="148"/>
      <c r="P36" s="149"/>
    </row>
    <row r="37" spans="2:16">
      <c r="B37" s="28">
        <v>19</v>
      </c>
      <c r="C37" s="29" t="s">
        <v>30</v>
      </c>
      <c r="D37" s="29" t="s">
        <v>110</v>
      </c>
      <c r="E37" s="29" t="s">
        <v>111</v>
      </c>
      <c r="F37" s="29" t="s">
        <v>113</v>
      </c>
      <c r="G37" s="31" t="s">
        <v>112</v>
      </c>
      <c r="H37" s="29">
        <v>1</v>
      </c>
      <c r="I37" s="29">
        <v>1</v>
      </c>
      <c r="J37" s="139">
        <f t="shared" si="0"/>
        <v>8.56</v>
      </c>
      <c r="K37" s="140">
        <v>8.56</v>
      </c>
      <c r="M37" s="2"/>
      <c r="N37" s="3"/>
      <c r="O37" s="148"/>
      <c r="P37" s="149"/>
    </row>
    <row r="38" spans="2:16">
      <c r="B38" s="28">
        <v>20</v>
      </c>
      <c r="C38" s="29" t="s">
        <v>22</v>
      </c>
      <c r="D38" s="29" t="s">
        <v>115</v>
      </c>
      <c r="E38" s="29" t="s">
        <v>116</v>
      </c>
      <c r="F38" s="29" t="s">
        <v>118</v>
      </c>
      <c r="G38" s="31" t="s">
        <v>117</v>
      </c>
      <c r="H38" s="29">
        <v>1000</v>
      </c>
      <c r="I38" s="29">
        <v>3</v>
      </c>
      <c r="J38" s="139">
        <f t="shared" si="0"/>
        <v>2.9099999999999998E-3</v>
      </c>
      <c r="K38" s="140">
        <v>0.97</v>
      </c>
      <c r="M38" s="2"/>
      <c r="N38" s="3"/>
      <c r="O38" s="148"/>
      <c r="P38" s="149"/>
    </row>
    <row r="39" spans="2:16">
      <c r="B39" s="28">
        <v>21</v>
      </c>
      <c r="C39" s="29" t="s">
        <v>6</v>
      </c>
      <c r="D39" s="29" t="s">
        <v>122</v>
      </c>
      <c r="E39" s="29" t="s">
        <v>120</v>
      </c>
      <c r="F39" s="29" t="s">
        <v>121</v>
      </c>
      <c r="G39" s="30" t="s">
        <v>119</v>
      </c>
      <c r="H39" s="29">
        <v>10</v>
      </c>
      <c r="I39" s="29">
        <v>1</v>
      </c>
      <c r="J39" s="139">
        <f t="shared" si="0"/>
        <v>0.75600000000000001</v>
      </c>
      <c r="K39" s="140">
        <v>7.56</v>
      </c>
      <c r="M39" s="2"/>
      <c r="N39" s="3"/>
      <c r="O39" s="148"/>
      <c r="P39" s="149"/>
    </row>
    <row r="40" spans="2:16">
      <c r="B40" s="62">
        <v>22</v>
      </c>
      <c r="C40" s="63" t="s">
        <v>23</v>
      </c>
      <c r="D40" s="63" t="s">
        <v>124</v>
      </c>
      <c r="E40" s="63" t="s">
        <v>123</v>
      </c>
      <c r="F40" s="63" t="s">
        <v>125</v>
      </c>
      <c r="G40" s="64" t="s">
        <v>126</v>
      </c>
      <c r="H40" s="63">
        <v>1</v>
      </c>
      <c r="I40" s="63">
        <v>1</v>
      </c>
      <c r="J40" s="141">
        <f t="shared" si="0"/>
        <v>2.38</v>
      </c>
      <c r="K40" s="142">
        <v>2.38</v>
      </c>
      <c r="M40" s="62"/>
      <c r="N40" s="8" t="s">
        <v>184</v>
      </c>
      <c r="O40" s="147">
        <f>SUM(J40:J45)</f>
        <v>25.15</v>
      </c>
      <c r="P40" s="123">
        <f>SUM(K40:K45)</f>
        <v>25.15</v>
      </c>
    </row>
    <row r="41" spans="2:16">
      <c r="B41" s="62">
        <v>23</v>
      </c>
      <c r="C41" s="63" t="s">
        <v>29</v>
      </c>
      <c r="D41" s="63" t="s">
        <v>127</v>
      </c>
      <c r="E41" s="63" t="s">
        <v>128</v>
      </c>
      <c r="F41" s="63">
        <v>70850</v>
      </c>
      <c r="G41" s="64" t="s">
        <v>129</v>
      </c>
      <c r="H41" s="63">
        <v>1</v>
      </c>
      <c r="I41" s="63">
        <v>1</v>
      </c>
      <c r="J41" s="141">
        <f t="shared" si="0"/>
        <v>6.98</v>
      </c>
      <c r="K41" s="142">
        <v>6.98</v>
      </c>
      <c r="M41" s="2"/>
      <c r="N41" s="3"/>
      <c r="O41" s="148"/>
      <c r="P41" s="149"/>
    </row>
    <row r="42" spans="2:16">
      <c r="B42" s="62">
        <v>24</v>
      </c>
      <c r="C42" s="63" t="s">
        <v>3</v>
      </c>
      <c r="D42" s="63" t="s">
        <v>130</v>
      </c>
      <c r="E42" s="63" t="s">
        <v>131</v>
      </c>
      <c r="F42" s="63">
        <v>950014</v>
      </c>
      <c r="G42" s="64" t="s">
        <v>132</v>
      </c>
      <c r="H42" s="63">
        <v>1</v>
      </c>
      <c r="I42" s="63">
        <v>1</v>
      </c>
      <c r="J42" s="141">
        <f t="shared" si="0"/>
        <v>4.49</v>
      </c>
      <c r="K42" s="142">
        <v>4.49</v>
      </c>
      <c r="M42" s="2"/>
      <c r="N42" s="3"/>
      <c r="O42" s="148"/>
      <c r="P42" s="149"/>
    </row>
    <row r="43" spans="2:16">
      <c r="B43" s="62">
        <v>25</v>
      </c>
      <c r="C43" s="63" t="s">
        <v>191</v>
      </c>
      <c r="D43" s="63" t="s">
        <v>188</v>
      </c>
      <c r="E43" s="63" t="s">
        <v>189</v>
      </c>
      <c r="F43" s="63" t="s">
        <v>13</v>
      </c>
      <c r="G43" s="64" t="s">
        <v>190</v>
      </c>
      <c r="H43" s="63">
        <v>1</v>
      </c>
      <c r="I43" s="63">
        <v>1</v>
      </c>
      <c r="J43" s="141">
        <f t="shared" si="0"/>
        <v>4.3899999999999997</v>
      </c>
      <c r="K43" s="142">
        <v>4.3899999999999997</v>
      </c>
      <c r="M43" s="2"/>
      <c r="N43" s="3"/>
      <c r="O43" s="148"/>
      <c r="P43" s="149"/>
    </row>
    <row r="44" spans="2:16">
      <c r="B44" s="62">
        <v>26</v>
      </c>
      <c r="C44" s="63" t="s">
        <v>4</v>
      </c>
      <c r="D44" s="63" t="s">
        <v>133</v>
      </c>
      <c r="E44" s="63" t="s">
        <v>134</v>
      </c>
      <c r="F44" s="63">
        <v>7240886000</v>
      </c>
      <c r="G44" s="64" t="s">
        <v>135</v>
      </c>
      <c r="H44" s="63">
        <v>1</v>
      </c>
      <c r="I44" s="63">
        <v>1</v>
      </c>
      <c r="J44" s="141">
        <f t="shared" si="0"/>
        <v>2.99</v>
      </c>
      <c r="K44" s="142">
        <v>2.99</v>
      </c>
      <c r="M44" s="2"/>
      <c r="N44" s="3"/>
      <c r="O44" s="148"/>
      <c r="P44" s="149"/>
    </row>
    <row r="45" spans="2:16" ht="17" thickBot="1">
      <c r="B45" s="62">
        <v>27</v>
      </c>
      <c r="C45" s="65" t="s">
        <v>57</v>
      </c>
      <c r="D45" s="65" t="s">
        <v>136</v>
      </c>
      <c r="E45" s="65" t="s">
        <v>137</v>
      </c>
      <c r="F45" s="65" t="s">
        <v>138</v>
      </c>
      <c r="G45" s="66" t="s">
        <v>139</v>
      </c>
      <c r="H45" s="65">
        <v>1</v>
      </c>
      <c r="I45" s="65">
        <v>1</v>
      </c>
      <c r="J45" s="143">
        <f t="shared" si="0"/>
        <v>3.92</v>
      </c>
      <c r="K45" s="144">
        <v>3.92</v>
      </c>
      <c r="M45" s="5"/>
      <c r="N45" s="6"/>
      <c r="O45" s="150"/>
      <c r="P45" s="151"/>
    </row>
    <row r="46" spans="2:16" ht="17" thickBot="1">
      <c r="B46" s="59" t="s">
        <v>27</v>
      </c>
      <c r="C46" s="60"/>
      <c r="D46" s="60"/>
      <c r="E46" s="60"/>
      <c r="F46" s="60"/>
      <c r="G46" s="60"/>
      <c r="H46" s="60"/>
      <c r="I46" s="60"/>
      <c r="J46" s="60"/>
      <c r="K46" s="61"/>
      <c r="M46" s="74" t="s">
        <v>27</v>
      </c>
      <c r="N46" s="75"/>
      <c r="O46" s="145">
        <f>O47+O49</f>
        <v>14.120000000000001</v>
      </c>
      <c r="P46" s="146">
        <f>P47+P49</f>
        <v>14.120000000000001</v>
      </c>
    </row>
    <row r="47" spans="2:16">
      <c r="B47" s="32">
        <v>28</v>
      </c>
      <c r="C47" s="33" t="s">
        <v>8</v>
      </c>
      <c r="D47" s="33" t="s">
        <v>140</v>
      </c>
      <c r="E47" s="33" t="s">
        <v>141</v>
      </c>
      <c r="F47" s="33" t="s">
        <v>142</v>
      </c>
      <c r="G47" s="34" t="s">
        <v>143</v>
      </c>
      <c r="H47" s="33">
        <v>1</v>
      </c>
      <c r="I47" s="33">
        <v>1</v>
      </c>
      <c r="J47" s="33">
        <f t="shared" ref="J47:J49" si="2">(K47/H47)*I47</f>
        <v>1.72</v>
      </c>
      <c r="K47" s="35">
        <v>1.72</v>
      </c>
      <c r="M47" s="36"/>
      <c r="N47" s="8" t="s">
        <v>180</v>
      </c>
      <c r="O47" s="147">
        <f>SUM(J47:J48)</f>
        <v>8.16</v>
      </c>
      <c r="P47" s="123">
        <f>SUM(K47:K48)</f>
        <v>8.16</v>
      </c>
    </row>
    <row r="48" spans="2:16">
      <c r="B48" s="36">
        <v>29</v>
      </c>
      <c r="C48" s="37" t="s">
        <v>24</v>
      </c>
      <c r="D48" s="37" t="s">
        <v>144</v>
      </c>
      <c r="E48" s="37" t="s">
        <v>145</v>
      </c>
      <c r="F48" s="37" t="s">
        <v>146</v>
      </c>
      <c r="G48" s="38" t="s">
        <v>147</v>
      </c>
      <c r="H48" s="37">
        <v>1</v>
      </c>
      <c r="I48" s="37">
        <v>1</v>
      </c>
      <c r="J48" s="37">
        <f t="shared" si="2"/>
        <v>6.44</v>
      </c>
      <c r="K48" s="39">
        <v>6.44</v>
      </c>
      <c r="M48" s="2"/>
      <c r="N48" s="3"/>
      <c r="O48" s="148"/>
      <c r="P48" s="149"/>
    </row>
    <row r="49" spans="2:16" ht="17" thickBot="1">
      <c r="B49" s="70">
        <v>30</v>
      </c>
      <c r="C49" s="71" t="s">
        <v>31</v>
      </c>
      <c r="D49" s="71" t="s">
        <v>85</v>
      </c>
      <c r="E49" s="71" t="s">
        <v>148</v>
      </c>
      <c r="F49" s="71" t="s">
        <v>149</v>
      </c>
      <c r="G49" s="72" t="s">
        <v>150</v>
      </c>
      <c r="H49" s="71">
        <v>1</v>
      </c>
      <c r="I49" s="71">
        <v>1</v>
      </c>
      <c r="J49" s="71">
        <f t="shared" si="2"/>
        <v>5.96</v>
      </c>
      <c r="K49" s="73">
        <v>5.96</v>
      </c>
      <c r="M49" s="77"/>
      <c r="N49" s="13" t="s">
        <v>185</v>
      </c>
      <c r="O49" s="152">
        <f>SUM(J49)</f>
        <v>5.96</v>
      </c>
      <c r="P49" s="124">
        <f>SUM(K49)</f>
        <v>5.96</v>
      </c>
    </row>
    <row r="50" spans="2:16" ht="17" thickBot="1">
      <c r="B50" s="59" t="s">
        <v>38</v>
      </c>
      <c r="C50" s="60"/>
      <c r="D50" s="60"/>
      <c r="E50" s="60"/>
      <c r="F50" s="60"/>
      <c r="G50" s="60"/>
      <c r="H50" s="60"/>
      <c r="I50" s="60"/>
      <c r="J50" s="60"/>
      <c r="K50" s="61"/>
      <c r="M50" s="74" t="s">
        <v>38</v>
      </c>
      <c r="N50" s="75"/>
      <c r="O50" s="145">
        <f>O51</f>
        <v>581.97</v>
      </c>
      <c r="P50" s="146">
        <f>P51</f>
        <v>581.97</v>
      </c>
    </row>
    <row r="51" spans="2:16">
      <c r="B51" s="95">
        <v>31</v>
      </c>
      <c r="C51" s="96" t="s">
        <v>39</v>
      </c>
      <c r="D51" s="96" t="s">
        <v>165</v>
      </c>
      <c r="E51" s="96" t="s">
        <v>166</v>
      </c>
      <c r="F51" s="96" t="s">
        <v>167</v>
      </c>
      <c r="G51" s="97" t="s">
        <v>168</v>
      </c>
      <c r="H51" s="96">
        <v>1</v>
      </c>
      <c r="I51" s="96">
        <v>1</v>
      </c>
      <c r="J51" s="96">
        <f t="shared" ref="J51:J53" si="3">(K51/H51)*I51</f>
        <v>81.55</v>
      </c>
      <c r="K51" s="98">
        <v>81.55</v>
      </c>
      <c r="M51" s="40"/>
      <c r="N51" s="8" t="s">
        <v>38</v>
      </c>
      <c r="O51" s="147">
        <f>SUM(J51:J53)</f>
        <v>581.97</v>
      </c>
      <c r="P51" s="123">
        <f>SUM(K51:K53)</f>
        <v>581.97</v>
      </c>
    </row>
    <row r="52" spans="2:16">
      <c r="B52" s="40">
        <v>32</v>
      </c>
      <c r="C52" s="41" t="s">
        <v>40</v>
      </c>
      <c r="D52" s="41" t="s">
        <v>155</v>
      </c>
      <c r="E52" s="41" t="s">
        <v>156</v>
      </c>
      <c r="F52" s="41" t="s">
        <v>13</v>
      </c>
      <c r="G52" s="42" t="s">
        <v>157</v>
      </c>
      <c r="H52" s="41">
        <v>1</v>
      </c>
      <c r="I52" s="41">
        <v>1</v>
      </c>
      <c r="J52" s="41">
        <f t="shared" si="3"/>
        <v>285.70999999999998</v>
      </c>
      <c r="K52" s="43">
        <v>285.70999999999998</v>
      </c>
      <c r="M52" s="2"/>
      <c r="N52" s="3"/>
      <c r="O52" s="3"/>
      <c r="P52" s="4"/>
    </row>
    <row r="53" spans="2:16" ht="17" thickBot="1">
      <c r="B53" s="44">
        <v>33</v>
      </c>
      <c r="C53" s="45" t="s">
        <v>42</v>
      </c>
      <c r="D53" s="45" t="s">
        <v>162</v>
      </c>
      <c r="E53" s="45" t="s">
        <v>161</v>
      </c>
      <c r="F53" s="99" t="s">
        <v>163</v>
      </c>
      <c r="G53" s="46" t="s">
        <v>164</v>
      </c>
      <c r="H53" s="45">
        <v>1</v>
      </c>
      <c r="I53" s="45">
        <v>1</v>
      </c>
      <c r="J53" s="45">
        <f t="shared" si="3"/>
        <v>214.71</v>
      </c>
      <c r="K53" s="47">
        <v>214.71</v>
      </c>
      <c r="M53" s="5"/>
      <c r="N53" s="6"/>
      <c r="O53" s="6"/>
      <c r="P53" s="7"/>
    </row>
    <row r="55" spans="2:16"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</row>
    <row r="56" spans="2:16">
      <c r="D56" s="67"/>
      <c r="E56" s="67"/>
      <c r="F56" s="67"/>
      <c r="G56" s="67"/>
      <c r="H56" s="67"/>
      <c r="I56" s="68"/>
      <c r="J56" s="69"/>
      <c r="K56" s="67"/>
      <c r="L56" s="67"/>
      <c r="M56" s="67"/>
      <c r="N56" s="67"/>
      <c r="O56" s="67"/>
      <c r="P56" s="67"/>
    </row>
    <row r="57" spans="2:16"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</row>
  </sheetData>
  <mergeCells count="4">
    <mergeCell ref="B34:K34"/>
    <mergeCell ref="B46:K46"/>
    <mergeCell ref="B50:K50"/>
    <mergeCell ref="B14:K14"/>
  </mergeCells>
  <hyperlinks>
    <hyperlink ref="G17" r:id="rId1" xr:uid="{7E207D25-2832-8A47-BBA9-52D2547FAF38}"/>
    <hyperlink ref="G20" r:id="rId2" xr:uid="{89D6AC00-44E4-C44F-969B-DA49143CBD58}"/>
    <hyperlink ref="G35" r:id="rId3" xr:uid="{BA049C85-06F0-AB47-BDB7-BE8848E2F9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9976-F5F7-0146-96EA-5DAC2843F673}">
  <dimension ref="B3:K24"/>
  <sheetViews>
    <sheetView workbookViewId="0">
      <selection activeCell="K20" sqref="K20"/>
    </sheetView>
  </sheetViews>
  <sheetFormatPr baseColWidth="10" defaultRowHeight="16"/>
  <cols>
    <col min="2" max="2" width="23.5" bestFit="1" customWidth="1"/>
    <col min="3" max="3" width="14" bestFit="1" customWidth="1"/>
    <col min="4" max="4" width="14.6640625" bestFit="1" customWidth="1"/>
  </cols>
  <sheetData>
    <row r="3" spans="2:4" ht="17" thickBot="1"/>
    <row r="4" spans="2:4" ht="17" thickBot="1">
      <c r="B4" s="100"/>
      <c r="C4" s="101" t="s">
        <v>198</v>
      </c>
      <c r="D4" s="102" t="s">
        <v>197</v>
      </c>
    </row>
    <row r="5" spans="2:4">
      <c r="B5" s="103" t="str">
        <f>'Final BOM'!N15</f>
        <v>Vessel Bath Components</v>
      </c>
      <c r="C5" s="118">
        <f>'Final BOM'!O15</f>
        <v>47.408569999999997</v>
      </c>
      <c r="D5" s="119">
        <f>'Final BOM'!P15</f>
        <v>86.090000000000018</v>
      </c>
    </row>
    <row r="6" spans="2:4">
      <c r="B6" s="104" t="str">
        <f>'Final BOM'!N24</f>
        <v>Pressure Components</v>
      </c>
      <c r="C6" s="120">
        <f>'Final BOM'!O24</f>
        <v>92.15</v>
      </c>
      <c r="D6" s="111">
        <f>'Final BOM'!P24</f>
        <v>92.15</v>
      </c>
    </row>
    <row r="7" spans="2:4">
      <c r="B7" s="104" t="s">
        <v>207</v>
      </c>
      <c r="C7" s="120">
        <f>'Final BOM'!O31</f>
        <v>79.069999999999993</v>
      </c>
      <c r="D7" s="111">
        <f>'Final BOM'!P31</f>
        <v>79.069999999999993</v>
      </c>
    </row>
    <row r="8" spans="2:4">
      <c r="B8" s="104" t="str">
        <f>'Final BOM'!N35</f>
        <v>Construction Consumables</v>
      </c>
      <c r="C8" s="120">
        <f>'Final BOM'!O35</f>
        <v>11.482643333333334</v>
      </c>
      <c r="D8" s="111">
        <f>'Final BOM'!P35</f>
        <v>67.430000000000007</v>
      </c>
    </row>
    <row r="9" spans="2:4">
      <c r="B9" s="104" t="str">
        <f>'Final BOM'!N40</f>
        <v>Testing Consumables</v>
      </c>
      <c r="C9" s="120">
        <f>'Final BOM'!O40</f>
        <v>25.15</v>
      </c>
      <c r="D9" s="111">
        <f>'Final BOM'!P40</f>
        <v>25.15</v>
      </c>
    </row>
    <row r="10" spans="2:4">
      <c r="B10" s="104" t="str">
        <f>'Final BOM'!N47</f>
        <v>Construction Tools</v>
      </c>
      <c r="C10" s="120">
        <f>'Final BOM'!O47</f>
        <v>8.16</v>
      </c>
      <c r="D10" s="111">
        <f>'Final BOM'!P47</f>
        <v>8.16</v>
      </c>
    </row>
    <row r="11" spans="2:4" ht="17" thickBot="1">
      <c r="B11" s="105" t="str">
        <f>'Final BOM'!N49</f>
        <v>Testing Tool</v>
      </c>
      <c r="C11" s="121">
        <f>'Final BOM'!O49</f>
        <v>5.96</v>
      </c>
      <c r="D11" s="122">
        <f>'Final BOM'!P49</f>
        <v>5.96</v>
      </c>
    </row>
    <row r="12" spans="2:4">
      <c r="B12" s="85"/>
      <c r="C12" s="85"/>
      <c r="D12" s="85"/>
    </row>
    <row r="13" spans="2:4">
      <c r="B13" s="85"/>
      <c r="C13" s="85"/>
      <c r="D13" s="85"/>
    </row>
    <row r="19" spans="2:11" ht="17" thickBot="1"/>
    <row r="20" spans="2:11" ht="17" thickBot="1">
      <c r="B20" s="82"/>
      <c r="C20" s="81" t="s">
        <v>198</v>
      </c>
      <c r="D20" s="80" t="s">
        <v>197</v>
      </c>
      <c r="E20" s="80" t="s">
        <v>199</v>
      </c>
      <c r="F20" s="80" t="s">
        <v>200</v>
      </c>
      <c r="G20" s="80" t="s">
        <v>201</v>
      </c>
      <c r="H20" s="80" t="s">
        <v>202</v>
      </c>
      <c r="I20" s="80" t="s">
        <v>203</v>
      </c>
      <c r="J20" s="80" t="s">
        <v>205</v>
      </c>
      <c r="K20" s="86" t="s">
        <v>204</v>
      </c>
    </row>
    <row r="21" spans="2:11">
      <c r="B21" s="83" t="str">
        <f>'Final BOM'!M14</f>
        <v>Components</v>
      </c>
      <c r="C21" s="106">
        <f>'Final BOM'!O14</f>
        <v>218.62857</v>
      </c>
      <c r="D21" s="107">
        <f>'Final BOM'!P14</f>
        <v>257.31</v>
      </c>
      <c r="E21" s="107">
        <v>642.35</v>
      </c>
      <c r="F21" s="107">
        <v>767.5</v>
      </c>
      <c r="G21" s="107">
        <v>1676.27</v>
      </c>
      <c r="H21" s="107">
        <v>4501.6400000000003</v>
      </c>
      <c r="I21" s="107">
        <v>9560</v>
      </c>
      <c r="J21" s="107">
        <v>17184.73</v>
      </c>
      <c r="K21" s="108">
        <v>45850</v>
      </c>
    </row>
    <row r="22" spans="2:11">
      <c r="B22" s="84" t="str">
        <f>'Final BOM'!M34</f>
        <v>Consumables</v>
      </c>
      <c r="C22" s="109">
        <v>36.632643333333334</v>
      </c>
      <c r="D22" s="110">
        <v>92.580000000000013</v>
      </c>
      <c r="E22" s="110">
        <v>2.64</v>
      </c>
      <c r="F22" s="110">
        <v>65.88</v>
      </c>
      <c r="G22" s="110">
        <v>0</v>
      </c>
      <c r="H22" s="110">
        <v>163.93</v>
      </c>
      <c r="I22" s="110">
        <v>0</v>
      </c>
      <c r="J22" s="110">
        <v>0</v>
      </c>
      <c r="K22" s="111">
        <v>0</v>
      </c>
    </row>
    <row r="23" spans="2:11" ht="17" thickBot="1">
      <c r="B23" s="87" t="str">
        <f>'Final BOM'!M46</f>
        <v>Equipment</v>
      </c>
      <c r="C23" s="112">
        <v>14.120000000000001</v>
      </c>
      <c r="D23" s="113">
        <v>14.120000000000001</v>
      </c>
      <c r="E23" s="113">
        <v>0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4">
        <v>0</v>
      </c>
    </row>
    <row r="24" spans="2:11" ht="17" thickBot="1">
      <c r="B24" s="82" t="s">
        <v>206</v>
      </c>
      <c r="C24" s="115">
        <f>SUM(C21:C23)</f>
        <v>269.38121333333333</v>
      </c>
      <c r="D24" s="116">
        <f t="shared" ref="D24:K24" si="0">SUM(D21:D23)</f>
        <v>364.01</v>
      </c>
      <c r="E24" s="116">
        <f t="shared" si="0"/>
        <v>644.99</v>
      </c>
      <c r="F24" s="116">
        <f t="shared" si="0"/>
        <v>833.38</v>
      </c>
      <c r="G24" s="116">
        <f t="shared" si="0"/>
        <v>1676.27</v>
      </c>
      <c r="H24" s="116">
        <f t="shared" si="0"/>
        <v>4665.5700000000006</v>
      </c>
      <c r="I24" s="116">
        <f t="shared" si="0"/>
        <v>9560</v>
      </c>
      <c r="J24" s="116">
        <f t="shared" si="0"/>
        <v>17184.73</v>
      </c>
      <c r="K24" s="117">
        <f t="shared" si="0"/>
        <v>45850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BOM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Murphy</dc:creator>
  <cp:lastModifiedBy>Michael Murphy</cp:lastModifiedBy>
  <dcterms:created xsi:type="dcterms:W3CDTF">2026-01-14T16:36:18Z</dcterms:created>
  <dcterms:modified xsi:type="dcterms:W3CDTF">2026-03-25T17:09:36Z</dcterms:modified>
</cp:coreProperties>
</file>